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cicd-todo-app\Doc\"/>
    </mc:Choice>
  </mc:AlternateContent>
  <xr:revisionPtr revIDLastSave="0" documentId="13_ncr:1_{FF5AF4B4-B1CE-4CD8-A8DF-582212988DE8}" xr6:coauthVersionLast="47" xr6:coauthVersionMax="47" xr10:uidLastSave="{00000000-0000-0000-0000-000000000000}"/>
  <bookViews>
    <workbookView xWindow="6555" yWindow="102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<sst xmlns="http://schemas.openxmlformats.org/spreadsheetml/2006/main" count="104" uniqueCount="62">
  <si>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</si>
  <si>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</si>
  <si>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</si>
  <si>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</si>
  <si>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</si>
  <si>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</si>
  <si>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</si>
  <si>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</si>
  <si>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</si>
  <si>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</si>
  <si>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</si>
  <si>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</si>
  <si>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</si>
  <si>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</si>
  <si>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</si>
  <si>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</si>
  <si>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</si>
  <si>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</si>
  <si>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</si>
  <si>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</si>
  <si>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</si>
  <si>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</si>
  <si>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</si>
  <si>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</si>
  <si>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</si>
  <si>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</si>
  <si>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</si>
  <si>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</si>
  <si>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</si>
  <si>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</si>
  <si>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</si>
  <si>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</si>
  <si>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</si>
  <si>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</si>
  <si>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</si>
  <si>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</si>
  <si>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</si>
  <si>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</si>
  <si>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</si>
  <si>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</si>
  <si>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</si>
  <si>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</si>
  <si>
    <t>ajout d'un paragraph "Documentation" dans Readme.md</t>
  </si>
  <si>
    <t>creation d'une strategie de tests, avencement</t>
  </si>
  <si>
    <t>modification d'un plan tests, tout sauf Objectif</t>
  </si>
  <si>
    <t>corréction du rapport insertion des partie  Stratégie et plans de tests</t>
  </si>
  <si>
    <t>Update CICD raport(plan de tests) and remove temp files</t>
  </si>
  <si>
    <t>analyse de plan de test avec professeur</t>
  </si>
  <si>
    <t>gitignore</t>
  </si>
  <si>
    <t>Chapitre explicatif de l’usage fait de l’IA dans ce projet</t>
  </si>
  <si>
    <t>mis à jour du Plan Test.docx</t>
  </si>
  <si>
    <t>mis à jour du Strategie Test.docx</t>
  </si>
  <si>
    <t xml:space="preserve">corréction général de rapport </t>
  </si>
  <si>
    <t>plan de tests</t>
  </si>
  <si>
    <t>création des mock d'utilisateurs</t>
  </si>
  <si>
    <t>resolution des problemese de versioning</t>
  </si>
  <si>
    <t>Correction de la db, seeders. Gestion des seeders</t>
  </si>
  <si>
    <t>correction des noms des fichiers doc/ , unifing-standartizing</t>
  </si>
  <si>
    <t>fix(.env error sloved), feat(better deploy script) + added seeders</t>
  </si>
  <si>
    <t>plan de tests corrigé</t>
  </si>
  <si>
    <t>E2E Cypress, (sign up)</t>
  </si>
  <si>
    <t>useful commands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</si>
</sst>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80</c:v>
                </c:pt>
                <c:pt idx="1">
                  <c:v>155</c:v>
                </c:pt>
                <c:pt idx="2">
                  <c:v>0</c:v>
                </c:pt>
                <c:pt idx="3">
                  <c:v>400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0.12598425196850394</c:v>
                </c:pt>
                <c:pt idx="1">
                  <c:v>0.24409448818897639</c:v>
                </c:pt>
                <c:pt idx="2">
                  <c:v>0</c:v>
                </c:pt>
                <c:pt idx="3">
                  <c:v>0.62992125984251968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22" activePane="bottomLeft" state="frozen"/>
      <selection pane="bottomLeft" activeCell="F39" sqref="F3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10 heures 35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575</v>
      </c>
      <c r="E4" s="24">
        <f>SUM(C4:D4)</f>
        <v>635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15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43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40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48</v>
      </c>
      <c r="B16" s="30">
        <v>45985</v>
      </c>
      <c r="C16" s="31"/>
      <c r="D16" s="32">
        <v>15</v>
      </c>
      <c r="E16" s="33" t="s">
        <v>4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40</v>
      </c>
      <c r="E17" s="37" t="s">
        <v>4</v>
      </c>
      <c r="F17" s="23" t="s">
        <v>44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45985</v>
      </c>
      <c r="C18" s="31"/>
      <c r="D18" s="32">
        <v>20</v>
      </c>
      <c r="E18" s="33" t="s">
        <v>4</v>
      </c>
      <c r="F18" s="23" t="s">
        <v>45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45985</v>
      </c>
      <c r="C19" s="35"/>
      <c r="D19" s="36">
        <v>10</v>
      </c>
      <c r="E19" s="37" t="s">
        <v>4</v>
      </c>
      <c r="F19" s="23" t="s">
        <v>39</v>
      </c>
      <c r="G19" s="84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45988</v>
      </c>
      <c r="C20" s="31"/>
      <c r="D20" s="32">
        <v>5</v>
      </c>
      <c r="E20" s="33" t="s">
        <v>4</v>
      </c>
      <c r="F20" s="23" t="s">
        <v>46</v>
      </c>
      <c r="G20" s="85"/>
    </row>
    <row r="21" spans="1:15" x14ac:dyDescent="0.25">
      <c r="A21" s="63">
        <f>IF(ISBLANK(B21),"",_xlfn.ISOWEEKNUM('Journal de travail'!$B21))</f>
        <v>48</v>
      </c>
      <c r="B21" s="34">
        <v>45988</v>
      </c>
      <c r="C21" s="35"/>
      <c r="D21" s="36">
        <v>10</v>
      </c>
      <c r="E21" s="37" t="s">
        <v>2</v>
      </c>
      <c r="F21" s="23" t="s">
        <v>47</v>
      </c>
      <c r="G21" s="40"/>
    </row>
    <row r="22" spans="1:15" x14ac:dyDescent="0.25">
      <c r="A22" s="62">
        <f>IF(ISBLANK(B22),"",_xlfn.ISOWEEKNUM('Journal de travail'!$B22))</f>
        <v>48</v>
      </c>
      <c r="B22" s="30">
        <v>45988</v>
      </c>
      <c r="C22" s="31"/>
      <c r="D22" s="32">
        <v>5</v>
      </c>
      <c r="E22" s="33" t="s">
        <v>19</v>
      </c>
      <c r="F22" s="23" t="s">
        <v>48</v>
      </c>
      <c r="G22" s="39"/>
    </row>
    <row r="23" spans="1:15" x14ac:dyDescent="0.25">
      <c r="A23" s="63">
        <f>IF(ISBLANK(B23),"",_xlfn.ISOWEEKNUM('Journal de travail'!$B23))</f>
        <v>48</v>
      </c>
      <c r="B23" s="34">
        <v>45988</v>
      </c>
      <c r="C23" s="35"/>
      <c r="D23" s="36">
        <v>15</v>
      </c>
      <c r="E23" s="37" t="s">
        <v>4</v>
      </c>
      <c r="F23" s="23" t="s">
        <v>49</v>
      </c>
      <c r="G23" s="40"/>
    </row>
    <row r="24" spans="1:15" x14ac:dyDescent="0.25">
      <c r="A24" s="62">
        <f>IF(ISBLANK(B24),"",_xlfn.ISOWEEKNUM('Journal de travail'!$B24))</f>
        <v>48</v>
      </c>
      <c r="B24" s="30">
        <v>45988</v>
      </c>
      <c r="C24" s="31"/>
      <c r="D24" s="32">
        <v>15</v>
      </c>
      <c r="E24" s="33" t="s">
        <v>4</v>
      </c>
      <c r="F24" s="23" t="s">
        <v>50</v>
      </c>
      <c r="G24" s="39"/>
    </row>
    <row r="25" spans="1:15" x14ac:dyDescent="0.25">
      <c r="A25" s="63">
        <f>IF(ISBLANK(B25),"",_xlfn.ISOWEEKNUM('Journal de travail'!$B25))</f>
        <v>48</v>
      </c>
      <c r="B25" s="34">
        <v>45988</v>
      </c>
      <c r="C25" s="35"/>
      <c r="D25" s="36">
        <v>15</v>
      </c>
      <c r="E25" s="37" t="s">
        <v>4</v>
      </c>
      <c r="F25" s="23" t="s">
        <v>51</v>
      </c>
      <c r="G25" s="84"/>
    </row>
    <row r="26" spans="1:15" x14ac:dyDescent="0.25">
      <c r="A26" s="62">
        <f>IF(ISBLANK(B26),"",_xlfn.ISOWEEKNUM('Journal de travail'!$B26))</f>
        <v>48</v>
      </c>
      <c r="B26" s="30">
        <v>45988</v>
      </c>
      <c r="C26" s="31"/>
      <c r="D26" s="32">
        <v>15</v>
      </c>
      <c r="E26" s="33" t="s">
        <v>4</v>
      </c>
      <c r="F26" s="23" t="s">
        <v>52</v>
      </c>
      <c r="G26" s="39"/>
    </row>
    <row r="27" spans="1:15" x14ac:dyDescent="0.25">
      <c r="A27" s="63">
        <f>IF(ISBLANK(B27),"",_xlfn.ISOWEEKNUM('Journal de travail'!$B27))</f>
        <v>48</v>
      </c>
      <c r="B27" s="34">
        <v>45988</v>
      </c>
      <c r="C27" s="35"/>
      <c r="D27" s="36">
        <v>10</v>
      </c>
      <c r="E27" s="37" t="s">
        <v>4</v>
      </c>
      <c r="F27" s="23" t="s">
        <v>39</v>
      </c>
      <c r="G27" s="40"/>
    </row>
    <row r="28" spans="1:15" x14ac:dyDescent="0.25">
      <c r="A28" s="62">
        <f>IF(ISBLANK(B28),"",_xlfn.ISOWEEKNUM('Journal de travail'!$B28))</f>
        <v>49</v>
      </c>
      <c r="B28" s="30">
        <v>45992</v>
      </c>
      <c r="C28" s="31"/>
      <c r="D28" s="32">
        <v>35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49</v>
      </c>
      <c r="B29" s="34">
        <v>45992</v>
      </c>
      <c r="C29" s="35"/>
      <c r="D29" s="36">
        <v>20</v>
      </c>
      <c r="E29" s="37" t="s">
        <v>19</v>
      </c>
      <c r="F29" s="22" t="s">
        <v>54</v>
      </c>
      <c r="G29" s="40"/>
    </row>
    <row r="30" spans="1:15" x14ac:dyDescent="0.25">
      <c r="A30" s="62">
        <f>IF(ISBLANK(B30),"",_xlfn.ISOWEEKNUM('Journal de travail'!$B30))</f>
        <v>49</v>
      </c>
      <c r="B30" s="30">
        <v>45992</v>
      </c>
      <c r="C30" s="31"/>
      <c r="D30" s="32">
        <v>20</v>
      </c>
      <c r="E30" s="33" t="s">
        <v>4</v>
      </c>
      <c r="F30" s="23" t="s">
        <v>55</v>
      </c>
      <c r="G30" s="39"/>
    </row>
    <row r="31" spans="1:15" x14ac:dyDescent="0.25">
      <c r="A31" s="63">
        <f>IF(ISBLANK(B31),"",_xlfn.ISOWEEKNUM('Journal de travail'!$B31))</f>
        <v>49</v>
      </c>
      <c r="B31" s="34">
        <v>45992</v>
      </c>
      <c r="C31" s="35"/>
      <c r="D31" s="36">
        <v>10</v>
      </c>
      <c r="E31" s="37" t="s">
        <v>4</v>
      </c>
      <c r="F31" s="22" t="s">
        <v>39</v>
      </c>
      <c r="G31" s="84"/>
    </row>
    <row r="32" spans="1:15" x14ac:dyDescent="0.25">
      <c r="A32" s="62">
        <f>IF(ISBLANK(B32),"",_xlfn.ISOWEEKNUM('Journal de travail'!$B32))</f>
        <v>49</v>
      </c>
      <c r="B32" s="30">
        <v>45995</v>
      </c>
      <c r="C32" s="31"/>
      <c r="D32" s="32">
        <v>25</v>
      </c>
      <c r="E32" s="33" t="s">
        <v>19</v>
      </c>
      <c r="F32" s="23" t="s">
        <v>56</v>
      </c>
      <c r="G32" s="39"/>
    </row>
    <row r="33" spans="1:7" x14ac:dyDescent="0.25">
      <c r="A33" s="63">
        <f>IF(ISBLANK(B33),"",_xlfn.ISOWEEKNUM('Journal de travail'!$B33))</f>
        <v>49</v>
      </c>
      <c r="B33" s="34">
        <v>45995</v>
      </c>
      <c r="C33" s="35"/>
      <c r="D33" s="36">
        <v>5</v>
      </c>
      <c r="E33" s="37" t="s">
        <v>4</v>
      </c>
      <c r="F33" s="22" t="s">
        <v>57</v>
      </c>
      <c r="G33" s="40"/>
    </row>
    <row r="34" spans="1:7" x14ac:dyDescent="0.25">
      <c r="A34" s="62">
        <f>IF(ISBLANK(B34),"",_xlfn.ISOWEEKNUM('Journal de travail'!$B34))</f>
        <v>49</v>
      </c>
      <c r="B34" s="30">
        <v>45995</v>
      </c>
      <c r="C34" s="31"/>
      <c r="D34" s="32">
        <v>25</v>
      </c>
      <c r="E34" s="33" t="s">
        <v>19</v>
      </c>
      <c r="F34" s="22" t="s">
        <v>58</v>
      </c>
      <c r="G34" s="39"/>
    </row>
    <row r="35" spans="1:7" x14ac:dyDescent="0.25">
      <c r="A35" s="63">
        <f>IF(ISBLANK(B35),"",_xlfn.ISOWEEKNUM('Journal de travail'!$B35))</f>
        <v>49</v>
      </c>
      <c r="B35" s="34">
        <v>45995</v>
      </c>
      <c r="C35" s="35"/>
      <c r="D35" s="36">
        <v>10</v>
      </c>
      <c r="E35" s="37" t="s">
        <v>4</v>
      </c>
      <c r="F35" s="23" t="s">
        <v>59</v>
      </c>
      <c r="G35" s="40"/>
    </row>
    <row r="36" spans="1:7" x14ac:dyDescent="0.25">
      <c r="A36" s="62">
        <f>IF(ISBLANK(B36),"",_xlfn.ISOWEEKNUM('Journal de travail'!$B36))</f>
        <v>49</v>
      </c>
      <c r="B36" s="30">
        <v>45995</v>
      </c>
      <c r="C36" s="31"/>
      <c r="D36" s="32">
        <v>40</v>
      </c>
      <c r="E36" s="33" t="s">
        <v>19</v>
      </c>
      <c r="F36" s="22" t="s">
        <v>60</v>
      </c>
      <c r="G36" s="39"/>
    </row>
    <row r="37" spans="1:7" x14ac:dyDescent="0.25">
      <c r="A37" s="63">
        <f>IF(ISBLANK(B37),"",_xlfn.ISOWEEKNUM('Journal de travail'!$B37))</f>
        <v>49</v>
      </c>
      <c r="B37" s="34">
        <v>45995</v>
      </c>
      <c r="C37" s="35"/>
      <c r="D37" s="36">
        <v>10</v>
      </c>
      <c r="E37" s="37" t="s">
        <v>4</v>
      </c>
      <c r="F37" s="22" t="s">
        <v>61</v>
      </c>
      <c r="G37" s="40"/>
    </row>
    <row r="38" spans="1:7" x14ac:dyDescent="0.25">
      <c r="A38" s="62">
        <f>IF(ISBLANK(B38),"",_xlfn.ISOWEEKNUM('Journal de travail'!$B38))</f>
        <v>49</v>
      </c>
      <c r="B38" s="30">
        <v>45995</v>
      </c>
      <c r="C38" s="31"/>
      <c r="D38" s="32">
        <v>10</v>
      </c>
      <c r="E38" s="33" t="s">
        <v>4</v>
      </c>
      <c r="F38" s="22" t="s">
        <v>39</v>
      </c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20</v>
      </c>
      <c r="C6">
        <f t="shared" ref="C6:C10" si="0">SUM(A6:B6)</f>
        <v>80</v>
      </c>
      <c r="E6" s="70" t="str">
        <f>'Journal de travail'!M8</f>
        <v>Analyse</v>
      </c>
      <c r="F6" s="71" t="str">
        <f>QUOTIENT(SUM(A6:B6),60)&amp;" h "&amp;TEXT(MOD(SUM(A6:B6),60), "00")&amp;" min"</f>
        <v>1 h 20 min</v>
      </c>
      <c r="G6" s="72">
        <f>SUM(A6:B6)/$C$11</f>
        <v>0.12598425196850394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155</v>
      </c>
      <c r="C7">
        <f t="shared" si="0"/>
        <v>155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35 min</v>
      </c>
      <c r="G7" s="75">
        <f t="shared" ref="G7:G9" si="2">SUM(A7:B7)/$C$11</f>
        <v>0.24409448818897639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400</v>
      </c>
      <c r="C9">
        <f t="shared" si="0"/>
        <v>400</v>
      </c>
      <c r="E9" s="77" t="str">
        <f>'Journal de travail'!M11</f>
        <v>Documentation</v>
      </c>
      <c r="F9" s="74" t="str">
        <f t="shared" si="1"/>
        <v>6 h 40 min</v>
      </c>
      <c r="G9" s="75">
        <f t="shared" si="2"/>
        <v>0.62992125984251968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575</v>
      </c>
      <c r="C11">
        <f>SUM(A11:B11)</f>
        <v>635</v>
      </c>
      <c r="E11" s="81" t="s">
        <v>18</v>
      </c>
      <c r="F11" s="71" t="str">
        <f t="shared" si="1"/>
        <v>10 h 35 min</v>
      </c>
      <c r="G11" s="82">
        <f>C11/C12</f>
        <v>0.44097222222222221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2025-12-04T16:06:58Z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