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cicd-todo-app\Doc\"/>
    </mc:Choice>
  </mc:AlternateContent>
  <xr:revisionPtr revIDLastSave="0" documentId="13_ncr:1_{B1813C6C-94E4-44BE-B19A-4720AFF200C2}" xr6:coauthVersionLast="47" xr6:coauthVersionMax="47" xr10:uidLastSave="{00000000-0000-0000-0000-000000000000}"/>
  <bookViews>
    <workbookView xWindow="6555" yWindow="0" windowWidth="21600" windowHeight="1560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<sst xmlns="http://schemas.openxmlformats.org/spreadsheetml/2006/main" count="90" uniqueCount="56">
  <si>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</si>
  <si>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</si>
  <si>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</si>
  <si>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</si>
  <si>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</si>
  <si>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</si>
  <si>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</si>
  <si>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</si>
  <si>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</si>
  <si>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</si>
  <si>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</si>
  <si>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</si>
  <si>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</si>
  <si>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</si>
  <si>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</si>
  <si>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</si>
  <si>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</si>
  <si>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</si>
  <si>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</si>
  <si>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</si>
  <si>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</si>
  <si>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</si>
  <si>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</si>
  <si>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</si>
  <si>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</si>
  <si>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</si>
  <si>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</si>
  <si>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</si>
  <si>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</si>
  <si>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</si>
  <si>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</si>
  <si>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</si>
  <si>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</si>
  <si>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</si>
  <si>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</si>
  <si>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</si>
  <si>
    <t>creation de Github Project pour planification, creation de taches, assignment, prioritarisation,estimation</t>
  </si>
  <si>
    <t>deploiement d'application</t>
  </si>
  <si>
    <t>creation d'un plan tests</t>
  </si>
  <si>
    <t>mis à jour du journal de travail, tout les points de travail effectué sont noté</t>
  </si>
  <si>
    <t>creation de script de deploiement automatique; install-dependencies-launch</t>
  </si>
  <si>
    <t>mis à jour de README.md pour mieux expliquer les but de projet et les poitns de deploiement</t>
  </si>
  <si>
    <t>ajout d'un paragraph "Documentation" dans Readme.md</t>
  </si>
  <si>
    <t>creation d'une strategie de tests, avencement</t>
  </si>
  <si>
    <t>modification d'un plan tests, tout sauf Objectif</t>
  </si>
  <si>
    <t>corréction du rapport insertion des partie  Stratégie et plans de tests</t>
  </si>
  <si>
    <t>Update CICD raport(plan de tests) and remove temp files</t>
  </si>
  <si>
    <t>analyse de plan de test avec professeur</t>
  </si>
  <si>
    <t>gitignore</t>
  </si>
  <si>
    <t>Chapitre explicatif de l’usage fait de l’IA dans ce projet</t>
  </si>
  <si>
    <t>mis à jour du Plan Test.docx</t>
  </si>
  <si>
    <t>mis à jour du Strategie Test.docx</t>
  </si>
  <si>
    <t xml:space="preserve">corréction général de rapport </t>
  </si>
  <si>
    <t>plan de tests</t>
  </si>
  <si>
    <t>création des mock d'utilisateurs</t>
  </si>
  <si>
    <t>resolution des problemese de versioning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</si>
</sst>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80</c:v>
                </c:pt>
                <c:pt idx="1">
                  <c:v>65</c:v>
                </c:pt>
                <c:pt idx="2">
                  <c:v>0</c:v>
                </c:pt>
                <c:pt idx="3">
                  <c:v>365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0.15686274509803921</c:v>
                </c:pt>
                <c:pt idx="1">
                  <c:v>0.12745098039215685</c:v>
                </c:pt>
                <c:pt idx="2">
                  <c:v>0</c:v>
                </c:pt>
                <c:pt idx="3">
                  <c:v>0.71568627450980393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19" activePane="bottomLeft" state="frozen"/>
      <selection pane="bottomLeft" activeCell="F31" sqref="F3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8 heures 30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450</v>
      </c>
      <c r="E4" s="24">
        <f>SUM(C4:D4)</f>
        <v>510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46</v>
      </c>
      <c r="B8" s="30">
        <v>45974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47</v>
      </c>
      <c r="B9" s="34">
        <v>45981</v>
      </c>
      <c r="C9" s="35"/>
      <c r="D9" s="36">
        <v>30</v>
      </c>
      <c r="E9" s="37" t="s">
        <v>4</v>
      </c>
      <c r="F9" s="23" t="s">
        <v>36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47</v>
      </c>
      <c r="B10" s="30">
        <v>45981</v>
      </c>
      <c r="C10" s="31"/>
      <c r="D10" s="32">
        <v>30</v>
      </c>
      <c r="E10" s="33" t="s">
        <v>19</v>
      </c>
      <c r="F10" s="23" t="s">
        <v>37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15</v>
      </c>
      <c r="E11" s="37" t="s">
        <v>4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35</v>
      </c>
      <c r="E12" s="33" t="s">
        <v>4</v>
      </c>
      <c r="F12" s="23" t="s">
        <v>43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19</v>
      </c>
      <c r="F13" s="23" t="s">
        <v>40</v>
      </c>
      <c r="G13" s="84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/>
      <c r="D14" s="32">
        <v>20</v>
      </c>
      <c r="E14" s="33" t="s">
        <v>4</v>
      </c>
      <c r="F14" s="23" t="s">
        <v>41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45981</v>
      </c>
      <c r="C15" s="35"/>
      <c r="D15" s="36">
        <v>10</v>
      </c>
      <c r="E15" s="37" t="s">
        <v>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48</v>
      </c>
      <c r="B16" s="30">
        <v>45985</v>
      </c>
      <c r="C16" s="31"/>
      <c r="D16" s="32">
        <v>15</v>
      </c>
      <c r="E16" s="33" t="s">
        <v>4</v>
      </c>
      <c r="F16" s="23" t="s">
        <v>42</v>
      </c>
      <c r="G16" s="39"/>
      <c r="O16">
        <v>40</v>
      </c>
    </row>
    <row r="17" spans="1:15" x14ac:dyDescent="0.25">
      <c r="A17" s="63">
        <f>IF(ISBLANK(B17),"",_xlfn.ISOWEEKNUM('Journal de travail'!$B17))</f>
        <v>48</v>
      </c>
      <c r="B17" s="34">
        <v>45985</v>
      </c>
      <c r="C17" s="35"/>
      <c r="D17" s="36">
        <v>40</v>
      </c>
      <c r="E17" s="37" t="s">
        <v>4</v>
      </c>
      <c r="F17" s="23" t="s">
        <v>44</v>
      </c>
      <c r="G17" s="40"/>
      <c r="O17">
        <v>45</v>
      </c>
    </row>
    <row r="18" spans="1:15" x14ac:dyDescent="0.25">
      <c r="A18" s="62">
        <f>IF(ISBLANK(B18),"",_xlfn.ISOWEEKNUM('Journal de travail'!$B18))</f>
        <v>48</v>
      </c>
      <c r="B18" s="30">
        <v>45985</v>
      </c>
      <c r="C18" s="31"/>
      <c r="D18" s="32">
        <v>20</v>
      </c>
      <c r="E18" s="33" t="s">
        <v>4</v>
      </c>
      <c r="F18" s="23" t="s">
        <v>45</v>
      </c>
      <c r="G18" s="39"/>
      <c r="O18">
        <v>50</v>
      </c>
    </row>
    <row r="19" spans="1:15" x14ac:dyDescent="0.25">
      <c r="A19" s="63">
        <f>IF(ISBLANK(B19),"",_xlfn.ISOWEEKNUM('Journal de travail'!$B19))</f>
        <v>48</v>
      </c>
      <c r="B19" s="34">
        <v>45985</v>
      </c>
      <c r="C19" s="35"/>
      <c r="D19" s="36">
        <v>10</v>
      </c>
      <c r="E19" s="37" t="s">
        <v>4</v>
      </c>
      <c r="F19" s="23" t="s">
        <v>39</v>
      </c>
      <c r="G19" s="84"/>
      <c r="O19">
        <v>55</v>
      </c>
    </row>
    <row r="20" spans="1:15" x14ac:dyDescent="0.25">
      <c r="A20" s="62">
        <f>IF(ISBLANK(B20),"",_xlfn.ISOWEEKNUM('Journal de travail'!$B20))</f>
        <v>48</v>
      </c>
      <c r="B20" s="30">
        <v>45988</v>
      </c>
      <c r="C20" s="31"/>
      <c r="D20" s="32">
        <v>5</v>
      </c>
      <c r="E20" s="33" t="s">
        <v>4</v>
      </c>
      <c r="F20" s="23" t="s">
        <v>46</v>
      </c>
      <c r="G20" s="85"/>
    </row>
    <row r="21" spans="1:15" x14ac:dyDescent="0.25">
      <c r="A21" s="63">
        <f>IF(ISBLANK(B21),"",_xlfn.ISOWEEKNUM('Journal de travail'!$B21))</f>
        <v>48</v>
      </c>
      <c r="B21" s="34">
        <v>45988</v>
      </c>
      <c r="C21" s="35"/>
      <c r="D21" s="36">
        <v>10</v>
      </c>
      <c r="E21" s="37" t="s">
        <v>2</v>
      </c>
      <c r="F21" s="23" t="s">
        <v>47</v>
      </c>
      <c r="G21" s="40"/>
    </row>
    <row r="22" spans="1:15" x14ac:dyDescent="0.25">
      <c r="A22" s="62">
        <f>IF(ISBLANK(B22),"",_xlfn.ISOWEEKNUM('Journal de travail'!$B22))</f>
        <v>48</v>
      </c>
      <c r="B22" s="30">
        <v>45988</v>
      </c>
      <c r="C22" s="31"/>
      <c r="D22" s="32">
        <v>5</v>
      </c>
      <c r="E22" s="33" t="s">
        <v>19</v>
      </c>
      <c r="F22" s="23" t="s">
        <v>48</v>
      </c>
      <c r="G22" s="39"/>
    </row>
    <row r="23" spans="1:15" x14ac:dyDescent="0.25">
      <c r="A23" s="63">
        <f>IF(ISBLANK(B23),"",_xlfn.ISOWEEKNUM('Journal de travail'!$B23))</f>
        <v>48</v>
      </c>
      <c r="B23" s="34">
        <v>45988</v>
      </c>
      <c r="C23" s="35"/>
      <c r="D23" s="36">
        <v>15</v>
      </c>
      <c r="E23" s="37" t="s">
        <v>4</v>
      </c>
      <c r="F23" s="23" t="s">
        <v>49</v>
      </c>
      <c r="G23" s="40"/>
    </row>
    <row r="24" spans="1:15" x14ac:dyDescent="0.25">
      <c r="A24" s="62">
        <f>IF(ISBLANK(B24),"",_xlfn.ISOWEEKNUM('Journal de travail'!$B24))</f>
        <v>48</v>
      </c>
      <c r="B24" s="30">
        <v>45988</v>
      </c>
      <c r="C24" s="31"/>
      <c r="D24" s="32">
        <v>15</v>
      </c>
      <c r="E24" s="33" t="s">
        <v>4</v>
      </c>
      <c r="F24" s="23" t="s">
        <v>50</v>
      </c>
      <c r="G24" s="39"/>
    </row>
    <row r="25" spans="1:15" x14ac:dyDescent="0.25">
      <c r="A25" s="63">
        <f>IF(ISBLANK(B25),"",_xlfn.ISOWEEKNUM('Journal de travail'!$B25))</f>
        <v>48</v>
      </c>
      <c r="B25" s="34">
        <v>45988</v>
      </c>
      <c r="C25" s="35"/>
      <c r="D25" s="36">
        <v>15</v>
      </c>
      <c r="E25" s="37" t="s">
        <v>4</v>
      </c>
      <c r="F25" s="23" t="s">
        <v>51</v>
      </c>
      <c r="G25" s="84"/>
    </row>
    <row r="26" spans="1:15" x14ac:dyDescent="0.25">
      <c r="A26" s="62">
        <f>IF(ISBLANK(B26),"",_xlfn.ISOWEEKNUM('Journal de travail'!$B26))</f>
        <v>48</v>
      </c>
      <c r="B26" s="30">
        <v>45988</v>
      </c>
      <c r="C26" s="31"/>
      <c r="D26" s="32">
        <v>15</v>
      </c>
      <c r="E26" s="33" t="s">
        <v>4</v>
      </c>
      <c r="F26" s="23" t="s">
        <v>52</v>
      </c>
      <c r="G26" s="39"/>
    </row>
    <row r="27" spans="1:15" x14ac:dyDescent="0.25">
      <c r="A27" s="63">
        <f>IF(ISBLANK(B27),"",_xlfn.ISOWEEKNUM('Journal de travail'!$B27))</f>
        <v>48</v>
      </c>
      <c r="B27" s="34">
        <v>45988</v>
      </c>
      <c r="C27" s="35"/>
      <c r="D27" s="36">
        <v>10</v>
      </c>
      <c r="E27" s="37" t="s">
        <v>4</v>
      </c>
      <c r="F27" s="23" t="s">
        <v>39</v>
      </c>
      <c r="G27" s="40"/>
    </row>
    <row r="28" spans="1:15" x14ac:dyDescent="0.25">
      <c r="A28" s="62">
        <f>IF(ISBLANK(B28),"",_xlfn.ISOWEEKNUM('Journal de travail'!$B28))</f>
        <v>49</v>
      </c>
      <c r="B28" s="30">
        <v>45992</v>
      </c>
      <c r="C28" s="31"/>
      <c r="D28" s="32">
        <v>35</v>
      </c>
      <c r="E28" s="33" t="s">
        <v>4</v>
      </c>
      <c r="F28" s="22" t="s">
        <v>53</v>
      </c>
      <c r="G28" s="39"/>
    </row>
    <row r="29" spans="1:15" x14ac:dyDescent="0.25">
      <c r="A29" s="63">
        <f>IF(ISBLANK(B29),"",_xlfn.ISOWEEKNUM('Journal de travail'!$B29))</f>
        <v>49</v>
      </c>
      <c r="B29" s="34">
        <v>45992</v>
      </c>
      <c r="C29" s="35"/>
      <c r="D29" s="36">
        <v>20</v>
      </c>
      <c r="E29" s="37" t="s">
        <v>19</v>
      </c>
      <c r="F29" s="22" t="s">
        <v>54</v>
      </c>
      <c r="G29" s="40"/>
    </row>
    <row r="30" spans="1:15" x14ac:dyDescent="0.25">
      <c r="A30" s="62">
        <f>IF(ISBLANK(B30),"",_xlfn.ISOWEEKNUM('Journal de travail'!$B30))</f>
        <v>49</v>
      </c>
      <c r="B30" s="30">
        <v>45992</v>
      </c>
      <c r="C30" s="31"/>
      <c r="D30" s="32">
        <v>20</v>
      </c>
      <c r="E30" s="33" t="s">
        <v>4</v>
      </c>
      <c r="F30" s="23" t="s">
        <v>55</v>
      </c>
      <c r="G30" s="39"/>
    </row>
    <row r="31" spans="1:15" x14ac:dyDescent="0.25">
      <c r="A31" s="63">
        <f>IF(ISBLANK(B31),"",_xlfn.ISOWEEKNUM('Journal de travail'!$B31))</f>
        <v>49</v>
      </c>
      <c r="B31" s="34">
        <v>45992</v>
      </c>
      <c r="C31" s="35"/>
      <c r="D31" s="36">
        <v>10</v>
      </c>
      <c r="E31" s="37" t="s">
        <v>4</v>
      </c>
      <c r="F31" s="22" t="s">
        <v>39</v>
      </c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20</v>
      </c>
      <c r="C6">
        <f t="shared" ref="C6:C10" si="0">SUM(A6:B6)</f>
        <v>80</v>
      </c>
      <c r="E6" s="70" t="str">
        <f>'Journal de travail'!M8</f>
        <v>Analyse</v>
      </c>
      <c r="F6" s="71" t="str">
        <f>QUOTIENT(SUM(A6:B6),60)&amp;" h "&amp;TEXT(MOD(SUM(A6:B6),60), "00")&amp;" min"</f>
        <v>1 h 20 min</v>
      </c>
      <c r="G6" s="72">
        <f>SUM(A6:B6)/$C$11</f>
        <v>0.15686274509803921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65</v>
      </c>
      <c r="C7">
        <f t="shared" si="0"/>
        <v>65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 h 05 min</v>
      </c>
      <c r="G7" s="75">
        <f t="shared" ref="G7:G9" si="2">SUM(A7:B7)/$C$11</f>
        <v>0.12745098039215685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365</v>
      </c>
      <c r="C9">
        <f t="shared" si="0"/>
        <v>365</v>
      </c>
      <c r="E9" s="77" t="str">
        <f>'Journal de travail'!M11</f>
        <v>Documentation</v>
      </c>
      <c r="F9" s="74" t="str">
        <f t="shared" si="1"/>
        <v>6 h 05 min</v>
      </c>
      <c r="G9" s="75">
        <f t="shared" si="2"/>
        <v>0.71568627450980393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450</v>
      </c>
      <c r="C11">
        <f>SUM(A11:B11)</f>
        <v>510</v>
      </c>
      <c r="E11" s="81" t="s">
        <v>18</v>
      </c>
      <c r="F11" s="71" t="str">
        <f t="shared" si="1"/>
        <v>8 h 30 min</v>
      </c>
      <c r="G11" s="82">
        <f>C11/C12</f>
        <v>0.35416666666666669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2025-12-01T10:22:15Z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