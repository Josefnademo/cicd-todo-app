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D66831FD-FCAC-4CC8-856E-5F1D4643D040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<sst xmlns="http://schemas.openxmlformats.org/spreadsheetml/2006/main" count="82" uniqueCount="53">
  <si>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</si>
  <si>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</si>
  <si>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</si>
  <si>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</si>
  <si>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</si>
  <si>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</si>
  <si>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</si>
  <si>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</si>
  <si>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</si>
  <si>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</si>
  <si>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</si>
  <si>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</si>
  <si>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</si>
  <si>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</si>
  <si>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</si>
  <si>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</si>
  <si>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</si>
  <si>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</si>
  <si>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</si>
  <si>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</si>
  <si>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</si>
  <si>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</si>
  <si>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</si>
  <si>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</si>
  <si>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</si>
  <si>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</si>
  <si>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</si>
  <si>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</si>
  <si>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</si>
  <si>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</si>
  <si>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</si>
  <si>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</si>
  <si>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</si>
  <si>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</si>
  <si>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</si>
  <si>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</si>
  <si>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</si>
  <si>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</si>
  <si>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</si>
  <si>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</si>
  <si>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</si>
  <si>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</si>
  <si>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</si>
  <si>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</si>
  <si>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</si>
  <si>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</si>
  <si>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</si>
  <si>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</si>
  <si>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</si>
  <si>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</si>
  <si>
    <t>mis à jour du Plan Test.docx</t>
  </si>
  <si>
    <t>mis à jour du Strategie Test.docx</t>
  </si>
  <si>
    <t xml:space="preserve">corréction général de rapport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</si>
</sst>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45</c:v>
                </c:pt>
                <c:pt idx="2">
                  <c:v>0</c:v>
                </c:pt>
                <c:pt idx="3">
                  <c:v>300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0.18823529411764706</c:v>
                </c:pt>
                <c:pt idx="1">
                  <c:v>0.10588235294117647</c:v>
                </c:pt>
                <c:pt idx="2">
                  <c:v>0</c:v>
                </c:pt>
                <c:pt idx="3">
                  <c:v>0.70588235294117652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7 heures 5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365</v>
      </c>
      <c r="E4" s="24">
        <f>SUM(C4:D4)</f>
        <v>425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>
        <v>15</v>
      </c>
      <c r="E24" s="33" t="s">
        <v>4</v>
      </c>
      <c r="F24" s="23" t="s">
        <v>50</v>
      </c>
      <c r="G24" s="39"/>
    </row>
    <row r="25" spans="1:15" x14ac:dyDescent="0.25">
      <c r="A25" s="63">
        <f>IF(ISBLANK(B25),"",_xlfn.ISOWEEKNUM('Journal de travail'!$B25))</f>
        <v>48</v>
      </c>
      <c r="B25" s="34">
        <v>45988</v>
      </c>
      <c r="C25" s="35"/>
      <c r="D25" s="36">
        <v>15</v>
      </c>
      <c r="E25" s="37" t="s">
        <v>4</v>
      </c>
      <c r="F25" s="23" t="s">
        <v>51</v>
      </c>
      <c r="G25" s="84"/>
    </row>
    <row r="26" spans="1:15" x14ac:dyDescent="0.25">
      <c r="A26" s="62">
        <f>IF(ISBLANK(B26),"",_xlfn.ISOWEEKNUM('Journal de travail'!$B26))</f>
        <v>48</v>
      </c>
      <c r="B26" s="30">
        <v>45988</v>
      </c>
      <c r="C26" s="31"/>
      <c r="D26" s="32">
        <v>15</v>
      </c>
      <c r="E26" s="33" t="s">
        <v>4</v>
      </c>
      <c r="F26" s="23" t="s">
        <v>52</v>
      </c>
      <c r="G26" s="39"/>
    </row>
    <row r="27" spans="1:15" x14ac:dyDescent="0.25">
      <c r="A27" s="63">
        <f>IF(ISBLANK(B27),"",_xlfn.ISOWEEKNUM('Journal de travail'!$B27))</f>
        <v>48</v>
      </c>
      <c r="B27" s="34">
        <v>45988</v>
      </c>
      <c r="C27" s="35"/>
      <c r="D27" s="36">
        <v>10</v>
      </c>
      <c r="E27" s="37" t="s">
        <v>4</v>
      </c>
      <c r="F27" s="23" t="s">
        <v>39</v>
      </c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0.18823529411764706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45</v>
      </c>
      <c r="C7">
        <f t="shared" si="0"/>
        <v>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45 min</v>
      </c>
      <c r="G7" s="75">
        <f t="shared" ref="G7:G9" si="2">SUM(A7:B7)/$C$11</f>
        <v>0.10588235294117647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300</v>
      </c>
      <c r="C9">
        <f t="shared" si="0"/>
        <v>300</v>
      </c>
      <c r="E9" s="77" t="str">
        <f>'Journal de travail'!M11</f>
        <v>Documentation</v>
      </c>
      <c r="F9" s="74" t="str">
        <f t="shared" si="1"/>
        <v>5 h 00 min</v>
      </c>
      <c r="G9" s="75">
        <f t="shared" si="2"/>
        <v>0.70588235294117652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365</v>
      </c>
      <c r="C11">
        <f>SUM(A11:B11)</f>
        <v>425</v>
      </c>
      <c r="E11" s="81" t="s">
        <v>18</v>
      </c>
      <c r="F11" s="71" t="str">
        <f t="shared" si="1"/>
        <v>7 h 05 min</v>
      </c>
      <c r="G11" s="82">
        <f>C11/C12</f>
        <v>0.2951388888888889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2025-11-27T14:29:30Z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