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23aha\Documents\GitHub\Todo-DevOps-Test\Doc\"/>
    </mc:Choice>
  </mc:AlternateContent>
  <xr:revisionPtr revIDLastSave="0" documentId="13_ncr:1_{ADC0263F-2BC8-4D29-877B-5340FE6084E6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<sst xmlns="http://schemas.openxmlformats.org/spreadsheetml/2006/main" count="66" uniqueCount="43">
  <si>
    <t>Journal de travail</t>
  </si>
  <si>
    <t>Auteur:</t>
  </si>
  <si>
    <t>Nom Prénom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</si>
  <si>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</si>
  <si>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</si>
  <si>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</si>
  <si>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</si>
  <si>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</si>
  <si>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</si>
  <si>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</si>
  <si>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</si>
  <si>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</si>
  <si>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</si>
  <si>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</si>
  <si>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Documentation</t>
  </si>
  <si>
    <t>Analyse</t>
  </si>
  <si>
    <t>Implémentation</t>
  </si>
  <si>
    <t>Test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</si>
  <si>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</si>
  <si>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</si>
  <si>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</si>
  <si>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</si>
  <si>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</si>
  <si>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</si>
  <si>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</si>
  <si>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</si>
  <si>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</si>
  <si>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</si>
  <si>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</si>
  <si>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</si>
  <si>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Discussion du projet</t>
  </si>
  <si>
    <t>Mise en place du projet</t>
  </si>
  <si>
    <t>Création du planning</t>
  </si>
  <si>
    <t>Remplissage du journal de travail</t>
  </si>
  <si>
    <t>Création des tâches dans github project</t>
  </si>
  <si>
    <t>Déployement de l'application</t>
  </si>
  <si>
    <t>Tester l'application en testant toutes les fonctionnalités</t>
  </si>
  <si>
    <t>Trouver les bugs de l'application</t>
  </si>
  <si>
    <t>J'ai commencé le rapport</t>
  </si>
  <si>
    <t>Discussion de ce qu'on va faire avec Yosef</t>
  </si>
  <si>
    <t>Remplissage de la partie spécification et plannification initial</t>
  </si>
  <si>
    <t>Remplissage de la partie classification de bugs</t>
  </si>
  <si>
    <t>Suppresion de fichier inutile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</si>
</sst>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8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  <font>
      <sz val="12"/>
      <color rgb="FF000000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8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0" fontId="17" fillId="0" borderId="0" xfId="0" applyFont="1" applyAlignment="1" applyProtection="1">
      <alignment vertical="center"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80</c:v>
                </c:pt>
                <c:pt idx="3">
                  <c:v>230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</c:v>
                </c:pt>
                <c:pt idx="1">
                  <c:v>4.6153846153846156E-2</c:v>
                </c:pt>
                <c:pt idx="2">
                  <c:v>0.24615384615384617</c:v>
                </c:pt>
                <c:pt idx="3">
                  <c:v>0.70769230769230773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25" sqref="F2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7" t="s">
        <v>1</v>
      </c>
      <c r="B2" s="87"/>
      <c r="C2" s="85" t="s">
        <v>2</v>
      </c>
      <c r="D2" s="85"/>
      <c r="E2" s="85"/>
      <c r="F2" s="5" t="s">
        <v>3</v>
      </c>
      <c r="G2" s="64"/>
    </row>
    <row r="3" spans="1:15" ht="23.25" x14ac:dyDescent="0.35">
      <c r="A3" s="87" t="s">
        <v>4</v>
      </c>
      <c r="B3" s="87"/>
      <c r="C3" s="67" t="str">
        <f>QUOTIENT(E4,60)&amp;" heures "&amp;MOD(E4,60)&amp;" minutes"</f>
        <v>5 heures 25 minutes</v>
      </c>
      <c r="D3" s="17"/>
      <c r="E3" s="3"/>
      <c r="F3" s="4" t="s">
        <v>5</v>
      </c>
      <c r="G3" s="65"/>
    </row>
    <row r="4" spans="1:15" ht="23.25" hidden="1" x14ac:dyDescent="0.35">
      <c r="B4" s="5"/>
      <c r="C4" s="17">
        <f>SUBTOTAL(9,$C$7:$C$531)*60</f>
        <v>120</v>
      </c>
      <c r="D4" s="17">
        <f>SUBTOTAL(9,$D$7:$D$531)</f>
        <v>205</v>
      </c>
      <c r="E4" s="24">
        <f>SUM(C4:D4)</f>
        <v>325</v>
      </c>
      <c r="F4" s="4"/>
      <c r="G4" s="6"/>
    </row>
    <row r="5" spans="1:15" x14ac:dyDescent="0.25">
      <c r="C5" s="86" t="s">
        <v>6</v>
      </c>
      <c r="D5" s="86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9</v>
      </c>
      <c r="D6" s="16" t="s">
        <v>10</v>
      </c>
      <c r="E6" s="14" t="s">
        <v>11</v>
      </c>
      <c r="F6" s="14" t="s">
        <v>12</v>
      </c>
      <c r="G6" s="14" t="s">
        <v>13</v>
      </c>
    </row>
    <row r="7" spans="1:15" x14ac:dyDescent="0.25">
      <c r="A7" s="61">
        <f>IF(ISBLANK(B7),"",_xlfn.ISOWEEKNUM('Journal de travail'!$B7))</f>
        <v>46</v>
      </c>
      <c r="B7" s="26">
        <v>45974</v>
      </c>
      <c r="C7" s="27">
        <v>1</v>
      </c>
      <c r="D7" s="28">
        <v>10</v>
      </c>
      <c r="E7" s="29" t="s">
        <v>14</v>
      </c>
      <c r="F7" s="23" t="s">
        <v>30</v>
      </c>
      <c r="G7" s="38"/>
    </row>
    <row r="8" spans="1:15" x14ac:dyDescent="0.25">
      <c r="A8" s="62">
        <f>IF(ISBLANK(B8),"",_xlfn.ISOWEEKNUM('Journal de travail'!$B8))</f>
        <v>46</v>
      </c>
      <c r="B8" s="30">
        <v>45974</v>
      </c>
      <c r="C8" s="31"/>
      <c r="D8" s="32">
        <v>5</v>
      </c>
      <c r="E8" s="33" t="s">
        <v>14</v>
      </c>
      <c r="F8" s="23" t="s">
        <v>31</v>
      </c>
      <c r="G8" s="39"/>
      <c r="M8" t="s">
        <v>15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46</v>
      </c>
      <c r="B9" s="34">
        <v>45974</v>
      </c>
      <c r="C9" s="35"/>
      <c r="D9" s="36">
        <v>10</v>
      </c>
      <c r="E9" s="37" t="s">
        <v>14</v>
      </c>
      <c r="F9" s="23" t="s">
        <v>32</v>
      </c>
      <c r="G9" s="40"/>
      <c r="M9" t="s">
        <v>16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46</v>
      </c>
      <c r="B10" s="30">
        <v>45974</v>
      </c>
      <c r="C10" s="31"/>
      <c r="D10" s="32">
        <v>5</v>
      </c>
      <c r="E10" s="33" t="s">
        <v>14</v>
      </c>
      <c r="F10" s="23" t="s">
        <v>33</v>
      </c>
      <c r="G10" s="39"/>
      <c r="M10" t="s">
        <v>17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47</v>
      </c>
      <c r="B11" s="34">
        <v>45981</v>
      </c>
      <c r="C11" s="35"/>
      <c r="D11" s="36">
        <v>25</v>
      </c>
      <c r="E11" s="37" t="s">
        <v>14</v>
      </c>
      <c r="F11" s="23" t="s">
        <v>34</v>
      </c>
      <c r="G11" s="40"/>
      <c r="M11" t="s">
        <v>14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47</v>
      </c>
      <c r="B12" s="30">
        <v>45981</v>
      </c>
      <c r="C12" s="31"/>
      <c r="D12" s="32">
        <v>15</v>
      </c>
      <c r="E12" s="33" t="s">
        <v>16</v>
      </c>
      <c r="F12" s="23" t="s">
        <v>35</v>
      </c>
      <c r="G12" s="39"/>
      <c r="M12" t="s">
        <v>18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47</v>
      </c>
      <c r="B13" s="34">
        <v>45981</v>
      </c>
      <c r="C13" s="35"/>
      <c r="D13" s="36">
        <v>10</v>
      </c>
      <c r="E13" s="37" t="s">
        <v>17</v>
      </c>
      <c r="F13" s="23" t="s">
        <v>36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47</v>
      </c>
      <c r="B14" s="30">
        <v>45981</v>
      </c>
      <c r="C14" s="31">
        <v>1</v>
      </c>
      <c r="D14" s="32">
        <v>10</v>
      </c>
      <c r="E14" s="33" t="s">
        <v>17</v>
      </c>
      <c r="F14" s="23" t="s">
        <v>37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47</v>
      </c>
      <c r="B15" s="34">
        <v>45981</v>
      </c>
      <c r="C15" s="35"/>
      <c r="D15" s="36">
        <v>10</v>
      </c>
      <c r="E15" s="37" t="s">
        <v>14</v>
      </c>
      <c r="F15" s="23" t="s">
        <v>38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47</v>
      </c>
      <c r="B16" s="30">
        <v>45981</v>
      </c>
      <c r="C16" s="31"/>
      <c r="D16" s="32">
        <v>5</v>
      </c>
      <c r="E16" s="33" t="s">
        <v>14</v>
      </c>
      <c r="F16" s="23" t="s">
        <v>33</v>
      </c>
      <c r="G16" s="39"/>
      <c r="O16">
        <v>40</v>
      </c>
    </row>
    <row r="17" spans="1:15" x14ac:dyDescent="0.25">
      <c r="A17" s="63">
        <f>IF(ISBLANK(B17),"",_xlfn.ISOWEEKNUM('Journal de travail'!$B17))</f>
        <v>48</v>
      </c>
      <c r="B17" s="34">
        <v>45985</v>
      </c>
      <c r="C17" s="35"/>
      <c r="D17" s="36">
        <v>10</v>
      </c>
      <c r="E17" s="37" t="s">
        <v>14</v>
      </c>
      <c r="F17" s="23" t="s">
        <v>39</v>
      </c>
      <c r="G17" s="40"/>
      <c r="O17">
        <v>45</v>
      </c>
    </row>
    <row r="18" spans="1:15" x14ac:dyDescent="0.25">
      <c r="A18" s="62">
        <f>IF(ISBLANK(B18),"",_xlfn.ISOWEEKNUM('Journal de travail'!$B18))</f>
        <v>48</v>
      </c>
      <c r="B18" s="30">
        <v>45985</v>
      </c>
      <c r="C18" s="31"/>
      <c r="D18" s="32">
        <v>50</v>
      </c>
      <c r="E18" s="33" t="s">
        <v>14</v>
      </c>
      <c r="F18" s="23" t="s">
        <v>40</v>
      </c>
      <c r="G18" s="39"/>
      <c r="O18">
        <v>50</v>
      </c>
    </row>
    <row r="19" spans="1:15" x14ac:dyDescent="0.25">
      <c r="A19" s="63">
        <f>IF(ISBLANK(B19),"",_xlfn.ISOWEEKNUM('Journal de travail'!$B19))</f>
        <v>48</v>
      </c>
      <c r="B19" s="34">
        <v>45985</v>
      </c>
      <c r="C19" s="35"/>
      <c r="D19" s="36">
        <v>30</v>
      </c>
      <c r="E19" s="37" t="s">
        <v>14</v>
      </c>
      <c r="F19" s="23" t="s">
        <v>41</v>
      </c>
      <c r="G19" s="40"/>
      <c r="O19">
        <v>55</v>
      </c>
    </row>
    <row r="20" spans="1:15" x14ac:dyDescent="0.25">
      <c r="A20" s="62">
        <f>IF(ISBLANK(B20),"",_xlfn.ISOWEEKNUM('Journal de travail'!$B20))</f>
        <v>48</v>
      </c>
      <c r="B20" s="30">
        <v>45985</v>
      </c>
      <c r="C20" s="31"/>
      <c r="D20" s="32">
        <v>5</v>
      </c>
      <c r="E20" s="33" t="s">
        <v>14</v>
      </c>
      <c r="F20" s="23" t="s">
        <v>42</v>
      </c>
      <c r="G20" s="39"/>
    </row>
    <row r="21" spans="1:15" x14ac:dyDescent="0.25">
      <c r="A21" s="63">
        <f>IF(ISBLANK(B21),"",_xlfn.ISOWEEKNUM('Journal de travail'!$B21))</f>
        <v>48</v>
      </c>
      <c r="B21" s="34">
        <v>45985</v>
      </c>
      <c r="C21" s="35"/>
      <c r="D21" s="36">
        <v>5</v>
      </c>
      <c r="E21" s="37" t="s">
        <v>14</v>
      </c>
      <c r="F21" s="23" t="s">
        <v>33</v>
      </c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7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3"/>
      <c r="F27" s="84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26 E28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28:E532 E7:E26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19</v>
      </c>
      <c r="F2" s="68">
        <v>90</v>
      </c>
      <c r="G2" s="66" t="s">
        <v>20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21</v>
      </c>
      <c r="L4" s="66" t="s">
        <v>22</v>
      </c>
      <c r="M4" s="41"/>
      <c r="N4" s="19"/>
    </row>
    <row r="5" spans="1:14" x14ac:dyDescent="0.3">
      <c r="A5" t="s">
        <v>23</v>
      </c>
      <c r="B5" t="s">
        <v>24</v>
      </c>
      <c r="C5" s="41" t="s">
        <v>25</v>
      </c>
      <c r="D5" s="42"/>
      <c r="E5" s="45" t="s">
        <v>26</v>
      </c>
      <c r="F5" s="46" t="s">
        <v>27</v>
      </c>
      <c r="G5" s="47" t="s">
        <v>28</v>
      </c>
      <c r="L5" s="48" t="s">
        <v>26</v>
      </c>
      <c r="M5" s="49" t="s">
        <v>27</v>
      </c>
      <c r="N5" s="50" t="s">
        <v>28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0" si="0">SUM(A6:B6)</f>
        <v>0</v>
      </c>
      <c r="E6" s="70" t="str">
        <f>'Journal de travail'!M8</f>
        <v>Analyse</v>
      </c>
      <c r="F6" s="71" t="str">
        <f>QUOTIENT(SUM(A6:B6),60)&amp;" h "&amp;TEXT(MOD(SUM(A6:B6),60), "00")&amp;" min"</f>
        <v>0 h 00 min</v>
      </c>
      <c r="G6" s="72">
        <f>SUM(A6:B6)/$C$11</f>
        <v>0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15</v>
      </c>
      <c r="C7">
        <f t="shared" si="0"/>
        <v>15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0 h 15 min</v>
      </c>
      <c r="G7" s="75">
        <f t="shared" ref="G7:G9" si="2">SUM(A7:B7)/$C$11</f>
        <v>4.6153846153846156E-2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60</v>
      </c>
      <c r="B8">
        <f>SUMIF('Journal de travail'!$E$7:$E$532,Plannification!E8,'Journal de travail'!$D$7:$D$532)</f>
        <v>20</v>
      </c>
      <c r="C8">
        <f t="shared" si="0"/>
        <v>80</v>
      </c>
      <c r="E8" s="76" t="str">
        <f>'Journal de travail'!M10</f>
        <v>Test</v>
      </c>
      <c r="F8" s="71" t="str">
        <f t="shared" si="1"/>
        <v>1 h 20 min</v>
      </c>
      <c r="G8" s="72">
        <f t="shared" si="2"/>
        <v>0.24615384615384617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170</v>
      </c>
      <c r="C9">
        <f t="shared" si="0"/>
        <v>230</v>
      </c>
      <c r="E9" s="77" t="str">
        <f>'Journal de travail'!M11</f>
        <v>Documentation</v>
      </c>
      <c r="F9" s="74" t="str">
        <f t="shared" si="1"/>
        <v>3 h 50 min</v>
      </c>
      <c r="G9" s="75">
        <f t="shared" si="2"/>
        <v>0.70769230769230773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120</v>
      </c>
      <c r="B11">
        <f>SUM(B6:B10)</f>
        <v>205</v>
      </c>
      <c r="C11">
        <f>SUM(A11:B11)</f>
        <v>325</v>
      </c>
      <c r="E11" s="81" t="s">
        <v>29</v>
      </c>
      <c r="F11" s="71" t="str">
        <f t="shared" si="1"/>
        <v>5 h 25 min</v>
      </c>
      <c r="G11" s="82">
        <f>C11/C12</f>
        <v>6.0185185185185182E-2</v>
      </c>
      <c r="L11" s="56" t="s">
        <v>29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1" ma:contentTypeDescription="Crée un document." ma:contentTypeScope="" ma:versionID="e12e7c6bdfb75a7d9b849cfc56f051f3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dd34f7c8cce3bbcb7db5b2c1b48d434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59f9882-dd1a-4e92-827c-8bd0e6dc3c4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B38329-2CCE-448E-AD8B-127B28816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eefa3612-053e-497a-ae76-8a76877f5e22"/>
    <ds:schemaRef ds:uri="b5cf4370-ac38-4b9e-9836-ef6f5df64f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Mathieu Bamert</cp:lastModifiedBy>
  <cp:revision/>
  <dcterms:created xsi:type="dcterms:W3CDTF">2023-11-21T20:00:34Z</dcterms:created>
  <dcterms:modified xsi:type="dcterms:W3CDTF">2025-11-24T10:24:49Z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