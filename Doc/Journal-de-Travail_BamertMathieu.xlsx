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Todo-DevOps-Test\Doc\"/>
    </mc:Choice>
  </mc:AlternateContent>
  <xr:revisionPtr revIDLastSave="0" documentId="13_ncr:1_{17BB2D03-EE74-4F4B-B834-22AEC957418D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<sst xmlns="http://schemas.openxmlformats.org/spreadsheetml/2006/main" count="44" uniqueCount="34">
  <si>
    <t>Journal de travail</t>
  </si>
  <si>
    <t>Auteur:</t>
  </si>
  <si>
    <t>Nom Prénom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</si>
  <si>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</si>
  <si>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</si>
  <si>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</si>
  <si>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</si>
  <si>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</si>
  <si>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</si>
  <si>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</si>
  <si>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</si>
  <si>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</si>
  <si>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</si>
  <si>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</si>
  <si>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</si>
  <si>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</si>
  <si>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</si>
  <si>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</si>
  <si>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</si>
  <si>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</si>
  <si>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</si>
  <si>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</si>
  <si>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</si>
  <si>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</si>
  <si>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</si>
  <si>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</si>
  <si>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</si>
  <si>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</si>
  <si>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</si>
  <si>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</si>
  <si>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Discussion du projet</t>
  </si>
  <si>
    <t>Mise en place du projet</t>
  </si>
  <si>
    <t>Création du planning</t>
  </si>
  <si>
    <t>Remplissage du journal de travail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</si>
</sst>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0" sqref="F2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/>
    </row>
    <row r="3" spans="1:15" ht="23.25" x14ac:dyDescent="0.35">
      <c r="A3" s="87" t="s">
        <v>4</v>
      </c>
      <c r="B3" s="87"/>
      <c r="C3" s="67" t="str">
        <f>QUOTIENT(E4,60)&amp;" heures "&amp;MOD(E4,60)&amp;" minutes"</f>
        <v>1 heures 30 minutes</v>
      </c>
      <c r="D3" s="17"/>
      <c r="E3" s="3"/>
      <c r="F3" s="4" t="s">
        <v>5</v>
      </c>
      <c r="G3" s="65"/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30</v>
      </c>
      <c r="E4" s="24">
        <f>SUM(C4:D4)</f>
        <v>90</v>
      </c>
      <c r="F4" s="4"/>
      <c r="G4" s="6"/>
    </row>
    <row r="5" spans="1:15" x14ac:dyDescent="0.25">
      <c r="C5" s="86" t="s">
        <v>6</v>
      </c>
      <c r="D5" s="86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14</v>
      </c>
      <c r="F7" s="23" t="s">
        <v>30</v>
      </c>
      <c r="G7" s="38"/>
    </row>
    <row r="8" spans="1:15" x14ac:dyDescent="0.25">
      <c r="A8" s="62">
        <f>IF(ISBLANK(B8),"",_xlfn.ISOWEEKNUM('Journal de travail'!$B8))</f>
        <v>46</v>
      </c>
      <c r="B8" s="30">
        <v>45974</v>
      </c>
      <c r="C8" s="31"/>
      <c r="D8" s="32">
        <v>5</v>
      </c>
      <c r="E8" s="33" t="s">
        <v>14</v>
      </c>
      <c r="F8" s="23" t="s">
        <v>31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46</v>
      </c>
      <c r="B9" s="34">
        <v>45974</v>
      </c>
      <c r="C9" s="35"/>
      <c r="D9" s="36">
        <v>10</v>
      </c>
      <c r="E9" s="37" t="s">
        <v>14</v>
      </c>
      <c r="F9" s="23" t="s">
        <v>32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46</v>
      </c>
      <c r="B10" s="30">
        <v>45974</v>
      </c>
      <c r="C10" s="31"/>
      <c r="D10" s="32">
        <v>5</v>
      </c>
      <c r="E10" s="33" t="s">
        <v>14</v>
      </c>
      <c r="F10" s="23" t="s">
        <v>33</v>
      </c>
      <c r="G10" s="39"/>
      <c r="M10" t="s">
        <v>17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7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3"/>
      <c r="F27" s="84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>
        <f t="shared" ref="G7:G9" si="2">SUM(A7:B7)/$C$11</f>
        <v>0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30</v>
      </c>
      <c r="C9">
        <f t="shared" si="0"/>
        <v>90</v>
      </c>
      <c r="E9" s="77" t="str">
        <f>'Journal de travail'!M11</f>
        <v>Documentation</v>
      </c>
      <c r="F9" s="74" t="str">
        <f t="shared" si="1"/>
        <v>1 h 30 min</v>
      </c>
      <c r="G9" s="75">
        <f t="shared" si="2"/>
        <v>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30</v>
      </c>
      <c r="C11">
        <f>SUM(A11:B11)</f>
        <v>90</v>
      </c>
      <c r="E11" s="81" t="s">
        <v>29</v>
      </c>
      <c r="F11" s="71" t="str">
        <f t="shared" si="1"/>
        <v>1 h 30 min</v>
      </c>
      <c r="G11" s="82">
        <f>C11/C12</f>
        <v>1.6666666666666666E-2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dcterms:created xsi:type="dcterms:W3CDTF">2023-11-21T20:00:34Z</dcterms:created>
  <dcterms:modified xsi:type="dcterms:W3CDTF">2025-11-13T16:23:48Z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