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Todo-DevOps-Test\Doc\"/>
    </mc:Choice>
  </mc:AlternateContent>
  <xr:revisionPtr revIDLastSave="0" documentId="13_ncr:1_{391284A4-32E3-40F9-8D3A-F1DF01C3B360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<sst xmlns="http://schemas.openxmlformats.org/spreadsheetml/2006/main" count="74" uniqueCount="50">
  <si>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</si>
  <si>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</si>
  <si>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</si>
  <si>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</si>
  <si>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</si>
  <si>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</si>
  <si>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</si>
  <si>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</si>
  <si>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</si>
  <si>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</si>
  <si>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</si>
  <si>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</si>
  <si>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</si>
  <si>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</si>
  <si>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</si>
  <si>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</si>
  <si>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</si>
  <si>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</si>
  <si>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</si>
  <si>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</si>
  <si>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</si>
  <si>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</si>
  <si>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</si>
  <si>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</si>
  <si>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</si>
  <si>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</si>
  <si>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</si>
  <si>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</si>
  <si>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</si>
  <si>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</si>
  <si>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29.08.2025 au 31.1.2025</t>
  </si>
  <si>
    <t>Une analyse approfondie du cahier des charges (CDC) afin de bien comprendre les objectifs, les fonctionnalités attendues et les contraintes techniques du projet</t>
  </si>
  <si>
    <t>Github repos/ Readme-Rapport / JDT / CDC / .gitignore( https://stackoverflow.com/questions/2143956/gitignore-for-visual-studio-projects-and-solutions )</t>
  </si>
  <si>
    <t>Création de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</si>
  <si>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discussion avec professeur</t>
  </si>
  <si>
    <t>Todo-App</t>
  </si>
  <si>
    <t>creation de Github Project pour planification, creation de taches, assignment, prioritarisation,estimation</t>
  </si>
  <si>
    <t>deploiement d'application</t>
  </si>
  <si>
    <t>creation d'un plan tests</t>
  </si>
  <si>
    <t>mis à jour du journal de travail, tout les points de travail effectué sont noté</t>
  </si>
  <si>
    <t>creation de script de deploiement automatique; install-dependencies-launch</t>
  </si>
  <si>
    <t>mis à jour de README.md pour mieux expliquer les but de projet et les poitns de deploiement</t>
  </si>
  <si>
    <t>ajout d'un paragraph "Documentation" dans Readme.md</t>
  </si>
  <si>
    <t>creation d'une strategie de tests, avencement</t>
  </si>
  <si>
    <t>modification d'un plan tests, tout sauf Objectif</t>
  </si>
  <si>
    <t>corréction du rapport insertion des partie  Stratégie et plans de tests</t>
  </si>
  <si>
    <t>Update CICD raport(plan de tests) and remove temp files</t>
  </si>
  <si>
    <t>analyse de plan de test avec professeur</t>
  </si>
  <si>
    <t>gitignore</t>
  </si>
  <si>
    <t>Chapitre explicatif de l’usage fait de l’IA dans ce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</si>
</sst>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80</c:v>
                </c:pt>
                <c:pt idx="1">
                  <c:v>45</c:v>
                </c:pt>
                <c:pt idx="2">
                  <c:v>0</c:v>
                </c:pt>
                <c:pt idx="3">
                  <c:v>245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0.21621621621621623</c:v>
                </c:pt>
                <c:pt idx="1">
                  <c:v>0.12162162162162163</c:v>
                </c:pt>
                <c:pt idx="2">
                  <c:v>0</c:v>
                </c:pt>
                <c:pt idx="3">
                  <c:v>0.66216216216216217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7" activePane="bottomLeft" state="frozen"/>
      <selection pane="bottomLeft" activeCell="F30" sqref="F3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35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6 heures 10 minutes</v>
      </c>
      <c r="D3" s="17"/>
      <c r="E3" s="3"/>
      <c r="F3" s="4" t="s">
        <v>6</v>
      </c>
      <c r="G3" s="65" t="s">
        <v>30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310</v>
      </c>
      <c r="E4" s="24">
        <f>SUM(C4:D4)</f>
        <v>370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46</v>
      </c>
      <c r="B7" s="26">
        <v>45974</v>
      </c>
      <c r="C7" s="27">
        <v>1</v>
      </c>
      <c r="D7" s="28">
        <v>10</v>
      </c>
      <c r="E7" s="29" t="s">
        <v>2</v>
      </c>
      <c r="F7" s="23" t="s">
        <v>31</v>
      </c>
      <c r="G7" s="38" t="s">
        <v>34</v>
      </c>
    </row>
    <row r="8" spans="1:15" ht="78.75" x14ac:dyDescent="0.25">
      <c r="A8" s="62">
        <f>IF(ISBLANK(B8),"",_xlfn.ISOWEEKNUM('Journal de travail'!$B8))</f>
        <v>46</v>
      </c>
      <c r="B8" s="30">
        <v>45974</v>
      </c>
      <c r="C8" s="31"/>
      <c r="D8" s="32">
        <v>30</v>
      </c>
      <c r="E8" s="33" t="s">
        <v>4</v>
      </c>
      <c r="F8" s="23" t="s">
        <v>33</v>
      </c>
      <c r="G8" s="39" t="s">
        <v>32</v>
      </c>
      <c r="M8" t="s">
        <v>2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47</v>
      </c>
      <c r="B9" s="34">
        <v>45981</v>
      </c>
      <c r="C9" s="35"/>
      <c r="D9" s="36">
        <v>30</v>
      </c>
      <c r="E9" s="37" t="s">
        <v>4</v>
      </c>
      <c r="F9" s="23" t="s">
        <v>36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47</v>
      </c>
      <c r="B10" s="30">
        <v>45981</v>
      </c>
      <c r="C10" s="31"/>
      <c r="D10" s="32">
        <v>30</v>
      </c>
      <c r="E10" s="33" t="s">
        <v>19</v>
      </c>
      <c r="F10" s="23" t="s">
        <v>37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47</v>
      </c>
      <c r="B11" s="34">
        <v>45981</v>
      </c>
      <c r="C11" s="35"/>
      <c r="D11" s="36">
        <v>15</v>
      </c>
      <c r="E11" s="37" t="s">
        <v>4</v>
      </c>
      <c r="F11" s="23" t="s">
        <v>38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47</v>
      </c>
      <c r="B12" s="30">
        <v>45981</v>
      </c>
      <c r="C12" s="31"/>
      <c r="D12" s="32">
        <v>35</v>
      </c>
      <c r="E12" s="33" t="s">
        <v>4</v>
      </c>
      <c r="F12" s="23" t="s">
        <v>43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47</v>
      </c>
      <c r="B13" s="34">
        <v>45981</v>
      </c>
      <c r="C13" s="35"/>
      <c r="D13" s="36">
        <v>10</v>
      </c>
      <c r="E13" s="37" t="s">
        <v>19</v>
      </c>
      <c r="F13" s="23" t="s">
        <v>40</v>
      </c>
      <c r="G13" s="84"/>
      <c r="N13">
        <v>6</v>
      </c>
      <c r="O13">
        <v>25</v>
      </c>
    </row>
    <row r="14" spans="1:15" x14ac:dyDescent="0.25">
      <c r="A14" s="62">
        <f>IF(ISBLANK(B14),"",_xlfn.ISOWEEKNUM('Journal de travail'!$B14))</f>
        <v>47</v>
      </c>
      <c r="B14" s="30">
        <v>45981</v>
      </c>
      <c r="C14" s="31"/>
      <c r="D14" s="32">
        <v>20</v>
      </c>
      <c r="E14" s="33" t="s">
        <v>4</v>
      </c>
      <c r="F14" s="23" t="s">
        <v>41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47</v>
      </c>
      <c r="B15" s="34">
        <v>45981</v>
      </c>
      <c r="C15" s="35"/>
      <c r="D15" s="36">
        <v>10</v>
      </c>
      <c r="E15" s="37" t="s">
        <v>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48</v>
      </c>
      <c r="B16" s="30">
        <v>45985</v>
      </c>
      <c r="C16" s="31"/>
      <c r="D16" s="32">
        <v>15</v>
      </c>
      <c r="E16" s="33" t="s">
        <v>4</v>
      </c>
      <c r="F16" s="23" t="s">
        <v>42</v>
      </c>
      <c r="G16" s="39"/>
      <c r="O16">
        <v>40</v>
      </c>
    </row>
    <row r="17" spans="1:15" x14ac:dyDescent="0.25">
      <c r="A17" s="63">
        <f>IF(ISBLANK(B17),"",_xlfn.ISOWEEKNUM('Journal de travail'!$B17))</f>
        <v>48</v>
      </c>
      <c r="B17" s="34">
        <v>45985</v>
      </c>
      <c r="C17" s="35"/>
      <c r="D17" s="36">
        <v>40</v>
      </c>
      <c r="E17" s="37" t="s">
        <v>4</v>
      </c>
      <c r="F17" s="23" t="s">
        <v>44</v>
      </c>
      <c r="G17" s="40"/>
      <c r="O17">
        <v>45</v>
      </c>
    </row>
    <row r="18" spans="1:15" x14ac:dyDescent="0.25">
      <c r="A18" s="62">
        <f>IF(ISBLANK(B18),"",_xlfn.ISOWEEKNUM('Journal de travail'!$B18))</f>
        <v>48</v>
      </c>
      <c r="B18" s="30">
        <v>45985</v>
      </c>
      <c r="C18" s="31"/>
      <c r="D18" s="32">
        <v>20</v>
      </c>
      <c r="E18" s="33" t="s">
        <v>4</v>
      </c>
      <c r="F18" s="23" t="s">
        <v>45</v>
      </c>
      <c r="G18" s="39"/>
      <c r="O18">
        <v>50</v>
      </c>
    </row>
    <row r="19" spans="1:15" x14ac:dyDescent="0.25">
      <c r="A19" s="63">
        <f>IF(ISBLANK(B19),"",_xlfn.ISOWEEKNUM('Journal de travail'!$B19))</f>
        <v>48</v>
      </c>
      <c r="B19" s="34">
        <v>45985</v>
      </c>
      <c r="C19" s="35"/>
      <c r="D19" s="36">
        <v>10</v>
      </c>
      <c r="E19" s="37" t="s">
        <v>4</v>
      </c>
      <c r="F19" s="23" t="s">
        <v>39</v>
      </c>
      <c r="G19" s="84"/>
      <c r="O19">
        <v>55</v>
      </c>
    </row>
    <row r="20" spans="1:15" x14ac:dyDescent="0.25">
      <c r="A20" s="62">
        <f>IF(ISBLANK(B20),"",_xlfn.ISOWEEKNUM('Journal de travail'!$B20))</f>
        <v>48</v>
      </c>
      <c r="B20" s="30">
        <v>45988</v>
      </c>
      <c r="C20" s="31"/>
      <c r="D20" s="32">
        <v>5</v>
      </c>
      <c r="E20" s="33" t="s">
        <v>4</v>
      </c>
      <c r="F20" s="23" t="s">
        <v>46</v>
      </c>
      <c r="G20" s="85"/>
    </row>
    <row r="21" spans="1:15" x14ac:dyDescent="0.25">
      <c r="A21" s="63">
        <f>IF(ISBLANK(B21),"",_xlfn.ISOWEEKNUM('Journal de travail'!$B21))</f>
        <v>48</v>
      </c>
      <c r="B21" s="34">
        <v>45988</v>
      </c>
      <c r="C21" s="35"/>
      <c r="D21" s="36">
        <v>10</v>
      </c>
      <c r="E21" s="37" t="s">
        <v>2</v>
      </c>
      <c r="F21" s="23" t="s">
        <v>47</v>
      </c>
      <c r="G21" s="40"/>
    </row>
    <row r="22" spans="1:15" x14ac:dyDescent="0.25">
      <c r="A22" s="62">
        <f>IF(ISBLANK(B22),"",_xlfn.ISOWEEKNUM('Journal de travail'!$B22))</f>
        <v>48</v>
      </c>
      <c r="B22" s="30">
        <v>45988</v>
      </c>
      <c r="C22" s="31"/>
      <c r="D22" s="32">
        <v>5</v>
      </c>
      <c r="E22" s="33" t="s">
        <v>19</v>
      </c>
      <c r="F22" s="23" t="s">
        <v>48</v>
      </c>
      <c r="G22" s="39"/>
    </row>
    <row r="23" spans="1:15" x14ac:dyDescent="0.25">
      <c r="A23" s="63">
        <f>IF(ISBLANK(B23),"",_xlfn.ISOWEEKNUM('Journal de travail'!$B23))</f>
        <v>48</v>
      </c>
      <c r="B23" s="34">
        <v>45988</v>
      </c>
      <c r="C23" s="35"/>
      <c r="D23" s="36">
        <v>15</v>
      </c>
      <c r="E23" s="37" t="s">
        <v>4</v>
      </c>
      <c r="F23" s="23" t="s">
        <v>49</v>
      </c>
      <c r="G23" s="40"/>
    </row>
    <row r="24" spans="1:15" x14ac:dyDescent="0.25">
      <c r="A24" s="62">
        <f>IF(ISBLANK(B24),"",_xlfn.ISOWEEKNUM('Journal de travail'!$B24))</f>
        <v>48</v>
      </c>
      <c r="B24" s="30">
        <v>45988</v>
      </c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20</v>
      </c>
      <c r="C6">
        <f t="shared" ref="C6:C10" si="0">SUM(A6:B6)</f>
        <v>80</v>
      </c>
      <c r="E6" s="70" t="str">
        <f>'Journal de travail'!M8</f>
        <v>Analyse</v>
      </c>
      <c r="F6" s="71" t="str">
        <f>QUOTIENT(SUM(A6:B6),60)&amp;" h "&amp;TEXT(MOD(SUM(A6:B6),60), "00")&amp;" min"</f>
        <v>1 h 20 min</v>
      </c>
      <c r="G6" s="72">
        <f>SUM(A6:B6)/$C$11</f>
        <v>0.21621621621621623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45</v>
      </c>
      <c r="C7">
        <f t="shared" si="0"/>
        <v>45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45 min</v>
      </c>
      <c r="G7" s="75">
        <f t="shared" ref="G7:G9" si="2">SUM(A7:B7)/$C$11</f>
        <v>0.12162162162162163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245</v>
      </c>
      <c r="C9">
        <f t="shared" si="0"/>
        <v>245</v>
      </c>
      <c r="E9" s="77" t="str">
        <f>'Journal de travail'!M11</f>
        <v>Documentation</v>
      </c>
      <c r="F9" s="74" t="str">
        <f t="shared" si="1"/>
        <v>4 h 05 min</v>
      </c>
      <c r="G9" s="75">
        <f t="shared" si="2"/>
        <v>0.66216216216216217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310</v>
      </c>
      <c r="C11">
        <f>SUM(A11:B11)</f>
        <v>370</v>
      </c>
      <c r="E11" s="81" t="s">
        <v>18</v>
      </c>
      <c r="F11" s="71" t="str">
        <f t="shared" si="1"/>
        <v>6 h 10 min</v>
      </c>
      <c r="G11" s="82">
        <f>C11/C12</f>
        <v>0.25694444444444442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2025-11-27T14:15:29Z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