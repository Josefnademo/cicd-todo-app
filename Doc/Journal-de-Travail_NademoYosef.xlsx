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FA926EDE-D7E6-4026-B19D-BBFB3EAAFA34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<sst xmlns="http://schemas.openxmlformats.org/spreadsheetml/2006/main" count="72" uniqueCount="49">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</sst>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45</c:v>
                </c:pt>
                <c:pt idx="2">
                  <c:v>0</c:v>
                </c:pt>
                <c:pt idx="3">
                  <c:v>230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0.22535211267605634</c:v>
                </c:pt>
                <c:pt idx="1">
                  <c:v>0.12676056338028169</c:v>
                </c:pt>
                <c:pt idx="2">
                  <c:v>0</c:v>
                </c:pt>
                <c:pt idx="3">
                  <c:v>0.647887323943662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5 heures 55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295</v>
      </c>
      <c r="E4" s="24">
        <f>SUM(C4:D4)</f>
        <v>355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/>
      <c r="E23" s="37"/>
      <c r="F23" s="23"/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0.22535211267605634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45</v>
      </c>
      <c r="C7">
        <f t="shared" si="0"/>
        <v>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45 min</v>
      </c>
      <c r="G7" s="75">
        <f t="shared" ref="G7:G9" si="2">SUM(A7:B7)/$C$11</f>
        <v>0.12676056338028169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230</v>
      </c>
      <c r="C9">
        <f t="shared" si="0"/>
        <v>230</v>
      </c>
      <c r="E9" s="77" t="str">
        <f>'Journal de travail'!M11</f>
        <v>Documentation</v>
      </c>
      <c r="F9" s="74" t="str">
        <f t="shared" si="1"/>
        <v>3 h 50 min</v>
      </c>
      <c r="G9" s="75">
        <f t="shared" si="2"/>
        <v>0.647887323943662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295</v>
      </c>
      <c r="C11">
        <f>SUM(A11:B11)</f>
        <v>355</v>
      </c>
      <c r="E11" s="81" t="s">
        <v>18</v>
      </c>
      <c r="F11" s="71" t="str">
        <f t="shared" si="1"/>
        <v>5 h 55 min</v>
      </c>
      <c r="G11" s="82">
        <f>C11/C12</f>
        <v>0.24652777777777779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2025-11-27T13:35:18Z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