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Todo-DevOps-Test\Doc\"/>
    </mc:Choice>
  </mc:AlternateContent>
  <xr:revisionPtr revIDLastSave="0" documentId="13_ncr:1_{4008031B-B223-482F-84D9-59D0EAB195ED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<sst xmlns="http://schemas.openxmlformats.org/spreadsheetml/2006/main" count="44" uniqueCount="36">
  <si>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</si>
  <si>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</si>
  <si>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</si>
  <si>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</si>
  <si>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</si>
  <si>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</si>
  <si>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</si>
  <si>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</si>
  <si>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</si>
  <si>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</si>
  <si>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</si>
  <si>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</si>
  <si>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</si>
  <si>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</si>
  <si>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</si>
  <si>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</si>
  <si>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</si>
  <si>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</si>
  <si>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</si>
  <si>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</si>
  <si>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</si>
  <si>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</si>
  <si>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</si>
  <si>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</si>
  <si>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</si>
  <si>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</si>
  <si>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</si>
  <si>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</si>
  <si>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</si>
  <si>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</si>
  <si>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29.08.2025 au 31.1.2025</t>
  </si>
  <si>
    <t>Une analyse approfondie du cahier des charges (CDC) afin de bien comprendre les objectifs, les fonctionnalités attendues et les contraintes techniques du projet</t>
  </si>
  <si>
    <t>Github repos/ Readme-Rapport / JDT / CDC / .gitignore( https://stackoverflow.com/questions/2143956/gitignore-for-visual-studio-projects-and-solutions )</t>
  </si>
  <si>
    <t>Création de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</si>
  <si>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discussion avec professeur</t>
  </si>
  <si>
    <t>Todo-App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</si>
</sst>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70</c:v>
                </c:pt>
                <c:pt idx="1">
                  <c:v>0</c:v>
                </c:pt>
                <c:pt idx="2">
                  <c:v>0</c:v>
                </c:pt>
                <c:pt idx="3">
                  <c:v>30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0.7</c:v>
                </c:pt>
                <c:pt idx="1">
                  <c:v>0</c:v>
                </c:pt>
                <c:pt idx="2">
                  <c:v>0</c:v>
                </c:pt>
                <c:pt idx="3">
                  <c:v>0.3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7" activePane="bottomLeft" state="frozen"/>
      <selection pane="bottomLeft" activeCell="G11" sqref="G1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35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1 heures 40 minutes</v>
      </c>
      <c r="D3" s="17"/>
      <c r="E3" s="3"/>
      <c r="F3" s="4" t="s">
        <v>6</v>
      </c>
      <c r="G3" s="65" t="s">
        <v>30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40</v>
      </c>
      <c r="E4" s="24">
        <f>SUM(C4:D4)</f>
        <v>100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35</v>
      </c>
      <c r="B7" s="26">
        <v>45898</v>
      </c>
      <c r="C7" s="27">
        <v>1</v>
      </c>
      <c r="D7" s="28">
        <v>10</v>
      </c>
      <c r="E7" s="29" t="s">
        <v>2</v>
      </c>
      <c r="F7" s="23" t="s">
        <v>31</v>
      </c>
      <c r="G7" s="38" t="s">
        <v>34</v>
      </c>
    </row>
    <row r="8" spans="1:15" ht="78.75" x14ac:dyDescent="0.25">
      <c r="A8" s="62">
        <f>IF(ISBLANK(B8),"",_xlfn.ISOWEEKNUM('Journal de travail'!$B8))</f>
        <v>35</v>
      </c>
      <c r="B8" s="30">
        <v>45898</v>
      </c>
      <c r="C8" s="31"/>
      <c r="D8" s="32">
        <v>30</v>
      </c>
      <c r="E8" s="33" t="s">
        <v>4</v>
      </c>
      <c r="F8" s="23" t="s">
        <v>33</v>
      </c>
      <c r="G8" s="39" t="s">
        <v>32</v>
      </c>
      <c r="M8" t="s">
        <v>2</v>
      </c>
      <c r="N8">
        <v>1</v>
      </c>
      <c r="O8">
        <v>0</v>
      </c>
    </row>
    <row r="9" spans="1:15" x14ac:dyDescent="0.25">
      <c r="A9" s="63" t="str">
        <f>IF(ISBLANK(B9),"",_xlfn.ISOWEEKNUM('Journal de travail'!$B9))</f>
        <v/>
      </c>
      <c r="B9" s="34"/>
      <c r="C9" s="35"/>
      <c r="D9" s="36"/>
      <c r="E9" s="37"/>
      <c r="F9" s="23"/>
      <c r="G9" s="40"/>
      <c r="M9" t="s">
        <v>19</v>
      </c>
      <c r="N9">
        <v>2</v>
      </c>
      <c r="O9">
        <v>5</v>
      </c>
    </row>
    <row r="10" spans="1:15" ht="47.25" x14ac:dyDescent="0.25">
      <c r="A10" s="62" t="str">
        <f>IF(ISBLANK(B10),"",_xlfn.ISOWEEKNUM('Journal de travail'!$B10))</f>
        <v/>
      </c>
      <c r="B10" s="30"/>
      <c r="C10" s="31"/>
      <c r="D10" s="32"/>
      <c r="E10" s="33"/>
      <c r="F10" s="23"/>
      <c r="G10" s="85"/>
      <c r="M10" t="s">
        <v>3</v>
      </c>
      <c r="N10">
        <v>3</v>
      </c>
      <c r="O10">
        <v>10</v>
      </c>
    </row>
    <row r="11" spans="1:15" ht="110.25" x14ac:dyDescent="0.25">
      <c r="A11" s="63" t="str">
        <f>IF(ISBLANK(B11),"",_xlfn.ISOWEEKNUM('Journal de travail'!$B11))</f>
        <v/>
      </c>
      <c r="B11" s="34"/>
      <c r="C11" s="35"/>
      <c r="D11" s="36"/>
      <c r="E11" s="37"/>
      <c r="F11" s="23"/>
      <c r="G11" s="40"/>
      <c r="M11" t="s">
        <v>4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85"/>
      <c r="M12" t="s">
        <v>28</v>
      </c>
      <c r="N12">
        <v>5</v>
      </c>
      <c r="O12">
        <v>20</v>
      </c>
    </row>
    <row r="13" spans="1:15" ht="63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84"/>
      <c r="N13">
        <v>6</v>
      </c>
      <c r="O13">
        <v>25</v>
      </c>
    </row>
    <row r="14" spans="1:15" ht="31.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ht="31.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ht="78.7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ht="47.2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84"/>
      <c r="O19">
        <v>55</v>
      </c>
    </row>
    <row r="20" spans="1:15" ht="31.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85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ht="31.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84"/>
    </row>
    <row r="26" spans="1:15" ht="31.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ht="157.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20" r:id="rId4" display="https://scottplot.net/cookbook/4.1/category/plottable-scatter-plot/" xr:uid="{4AC877DD-0538-4960-9300-3F6AF2D7E0D5}"/>
    <hyperlink ref="G31" r:id="rId5" display="https://gist.github.com/takekazuomi/10955889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10</v>
      </c>
      <c r="C6">
        <f t="shared" ref="C6:C10" si="0">SUM(A6:B6)</f>
        <v>70</v>
      </c>
      <c r="E6" s="70" t="str">
        <f>'Journal de travail'!M8</f>
        <v>Analyse</v>
      </c>
      <c r="F6" s="71" t="str">
        <f>QUOTIENT(SUM(A6:B6),60)&amp;" h "&amp;TEXT(MOD(SUM(A6:B6),60), "00")&amp;" min"</f>
        <v>1 h 10 min</v>
      </c>
      <c r="G6" s="72">
        <f>SUM(A6:B6)/$C$11</f>
        <v>0.7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0</v>
      </c>
      <c r="C7">
        <f t="shared" si="0"/>
        <v>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00 min</v>
      </c>
      <c r="G7" s="75">
        <f t="shared" ref="G7:G9" si="2">SUM(A7:B7)/$C$11</f>
        <v>0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30</v>
      </c>
      <c r="C9">
        <f t="shared" si="0"/>
        <v>30</v>
      </c>
      <c r="E9" s="77" t="str">
        <f>'Journal de travail'!M11</f>
        <v>Documentation</v>
      </c>
      <c r="F9" s="74" t="str">
        <f t="shared" si="1"/>
        <v>0 h 30 min</v>
      </c>
      <c r="G9" s="75">
        <f t="shared" si="2"/>
        <v>0.3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40</v>
      </c>
      <c r="C11">
        <f>SUM(A11:B11)</f>
        <v>100</v>
      </c>
      <c r="E11" s="81" t="s">
        <v>18</v>
      </c>
      <c r="F11" s="71" t="str">
        <f t="shared" si="1"/>
        <v>1 h 40 min</v>
      </c>
      <c r="G11" s="82">
        <f>C11/C12</f>
        <v>6.9444444444444448E-2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2025-11-13T16:24:11Z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