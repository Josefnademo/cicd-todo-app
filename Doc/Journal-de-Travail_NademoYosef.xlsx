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Todo-DevOps-Test\Doc\"/>
    </mc:Choice>
  </mc:AlternateContent>
  <xr:revisionPtr revIDLastSave="0" documentId="13_ncr:1_{29148F60-3A53-4065-B288-50BD4508EADB}" xr6:coauthVersionLast="47" xr6:coauthVersionMax="47" xr10:uidLastSave="{00000000-0000-0000-0000-000000000000}"/>
  <bookViews>
    <workbookView xWindow="2868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<sst xmlns="http://schemas.openxmlformats.org/spreadsheetml/2006/main" count="56" uniqueCount="42">
  <si>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</si>
  <si>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</si>
  <si>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</si>
  <si>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</si>
  <si>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</si>
  <si>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</si>
  <si>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</si>
  <si>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</si>
  <si>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</si>
  <si>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</si>
  <si>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</si>
  <si>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</si>
  <si>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</si>
  <si>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</si>
  <si>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</si>
  <si>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</si>
  <si>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</si>
  <si>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</si>
  <si>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</si>
  <si>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</si>
  <si>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</si>
  <si>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</si>
  <si>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</si>
  <si>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</si>
  <si>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</si>
  <si>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</si>
  <si>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</si>
  <si>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</si>
  <si>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</si>
  <si>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</si>
  <si>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29.08.2025 au 31.1.2025</t>
  </si>
  <si>
    <t>Une analyse approfondie du cahier des charges (CDC) afin de bien comprendre les objectifs, les fonctionnalités attendues et les contraintes techniques du projet</t>
  </si>
  <si>
    <t>Github repos/ Readme-Rapport / JDT / CDC / .gitignore( https://stackoverflow.com/questions/2143956/gitignore-for-visual-studio-projects-and-solutions )</t>
  </si>
  <si>
    <t>Création de repos GitHub privé, Une structure de fichiers organisée a été mise en place afin d’assurer une bonne lisibilité et une gestion efficace du code et des    ressources(          documentation/ — pour tous les documents liés au projet
readme.md — fichier de présentation du projet-Rapport | .gitignore
Début de la planification des tâches dans le JDT</t>
  </si>
  <si>
    <t>discussion avec professeur</t>
  </si>
  <si>
    <t>Todo-App</t>
  </si>
  <si>
    <t>creation de Github Project pour planification, creation de taches, assignment, prioritarisation,estimation</t>
  </si>
  <si>
    <t>deploiement d'application</t>
  </si>
  <si>
    <t>creation d'un plan tests</t>
  </si>
  <si>
    <t xml:space="preserve">creation d'une strategie de tests, </t>
  </si>
  <si>
    <t>mis à jour du journal de travail, tout les points de travail effectué sont noté</t>
  </si>
  <si>
    <t>creation de script de deploiement automatique; install-dependencies-launch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</si>
</sst>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70</c:v>
                </c:pt>
                <c:pt idx="1">
                  <c:v>40</c:v>
                </c:pt>
                <c:pt idx="2">
                  <c:v>0</c:v>
                </c:pt>
                <c:pt idx="3">
                  <c:v>140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0.28000000000000003</c:v>
                </c:pt>
                <c:pt idx="1">
                  <c:v>0.16</c:v>
                </c:pt>
                <c:pt idx="2">
                  <c:v>0</c:v>
                </c:pt>
                <c:pt idx="3">
                  <c:v>0.56000000000000005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ingecko.com/en/api?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st.github.com/takekazuomi/10955889" TargetMode="External"/><Relationship Id="rId4" Type="http://schemas.openxmlformats.org/officeDocument/2006/relationships/hyperlink" Target="https://scottplot.net/cookbook/4.1/category/plottable-scatter-plot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F20" sqref="F20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35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4 heures 10 minutes</v>
      </c>
      <c r="D3" s="17"/>
      <c r="E3" s="3"/>
      <c r="F3" s="4" t="s">
        <v>6</v>
      </c>
      <c r="G3" s="65" t="s">
        <v>30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190</v>
      </c>
      <c r="E4" s="24">
        <f>SUM(C4:D4)</f>
        <v>250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46</v>
      </c>
      <c r="B7" s="26">
        <v>45974</v>
      </c>
      <c r="C7" s="27">
        <v>1</v>
      </c>
      <c r="D7" s="28">
        <v>10</v>
      </c>
      <c r="E7" s="29" t="s">
        <v>2</v>
      </c>
      <c r="F7" s="23" t="s">
        <v>31</v>
      </c>
      <c r="G7" s="38" t="s">
        <v>34</v>
      </c>
    </row>
    <row r="8" spans="1:15" ht="78.75" x14ac:dyDescent="0.25">
      <c r="A8" s="62">
        <f>IF(ISBLANK(B8),"",_xlfn.ISOWEEKNUM('Journal de travail'!$B8))</f>
        <v>46</v>
      </c>
      <c r="B8" s="30">
        <v>45974</v>
      </c>
      <c r="C8" s="31"/>
      <c r="D8" s="32">
        <v>30</v>
      </c>
      <c r="E8" s="33" t="s">
        <v>4</v>
      </c>
      <c r="F8" s="23" t="s">
        <v>33</v>
      </c>
      <c r="G8" s="39" t="s">
        <v>32</v>
      </c>
      <c r="M8" t="s">
        <v>2</v>
      </c>
      <c r="N8">
        <v>1</v>
      </c>
      <c r="O8">
        <v>0</v>
      </c>
    </row>
    <row r="9" spans="1:15" ht="31.5" x14ac:dyDescent="0.25">
      <c r="A9" s="63">
        <f>IF(ISBLANK(B9),"",_xlfn.ISOWEEKNUM('Journal de travail'!$B9))</f>
        <v>47</v>
      </c>
      <c r="B9" s="34">
        <v>45981</v>
      </c>
      <c r="C9" s="35"/>
      <c r="D9" s="36">
        <v>30</v>
      </c>
      <c r="E9" s="37" t="s">
        <v>4</v>
      </c>
      <c r="F9" s="23" t="s">
        <v>36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47</v>
      </c>
      <c r="B10" s="30">
        <v>45981</v>
      </c>
      <c r="C10" s="31"/>
      <c r="D10" s="32">
        <v>30</v>
      </c>
      <c r="E10" s="33" t="s">
        <v>19</v>
      </c>
      <c r="F10" s="23" t="s">
        <v>37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47</v>
      </c>
      <c r="B11" s="34">
        <v>45981</v>
      </c>
      <c r="C11" s="35"/>
      <c r="D11" s="36">
        <v>35</v>
      </c>
      <c r="E11" s="37" t="s">
        <v>4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47</v>
      </c>
      <c r="B12" s="30">
        <v>45981</v>
      </c>
      <c r="C12" s="31"/>
      <c r="D12" s="32">
        <v>35</v>
      </c>
      <c r="E12" s="33" t="s">
        <v>4</v>
      </c>
      <c r="F12" s="23" t="s">
        <v>39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47</v>
      </c>
      <c r="B13" s="34">
        <v>45981</v>
      </c>
      <c r="C13" s="35"/>
      <c r="D13" s="36">
        <v>10</v>
      </c>
      <c r="E13" s="37" t="s">
        <v>19</v>
      </c>
      <c r="F13" s="23" t="s">
        <v>41</v>
      </c>
      <c r="G13" s="84"/>
      <c r="N13">
        <v>6</v>
      </c>
      <c r="O13">
        <v>25</v>
      </c>
    </row>
    <row r="14" spans="1:15" x14ac:dyDescent="0.25">
      <c r="A14" s="62">
        <f>IF(ISBLANK(B14),"",_xlfn.ISOWEEKNUM('Journal de travail'!$B14))</f>
        <v>47</v>
      </c>
      <c r="B14" s="30">
        <v>45981</v>
      </c>
      <c r="C14" s="31"/>
      <c r="D14" s="32">
        <v>10</v>
      </c>
      <c r="E14" s="33" t="s">
        <v>4</v>
      </c>
      <c r="F14" s="23" t="s">
        <v>40</v>
      </c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20" r:id="rId4" display="https://scottplot.net/cookbook/4.1/category/plottable-scatter-plot/" xr:uid="{4AC877DD-0538-4960-9300-3F6AF2D7E0D5}"/>
    <hyperlink ref="G31" r:id="rId5" display="https://gist.github.com/takekazuomi/10955889" xr:uid="{14778DBD-AC08-49BE-B816-D74CEFC0A64E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60</v>
      </c>
      <c r="B6">
        <f>SUMIF('Journal de travail'!$E$7:$E$532,Plannification!E6,'Journal de travail'!$D$7:$D$532)</f>
        <v>10</v>
      </c>
      <c r="C6">
        <f t="shared" ref="C6:C10" si="0">SUM(A6:B6)</f>
        <v>70</v>
      </c>
      <c r="E6" s="70" t="str">
        <f>'Journal de travail'!M8</f>
        <v>Analyse</v>
      </c>
      <c r="F6" s="71" t="str">
        <f>QUOTIENT(SUM(A6:B6),60)&amp;" h "&amp;TEXT(MOD(SUM(A6:B6),60), "00")&amp;" min"</f>
        <v>1 h 10 min</v>
      </c>
      <c r="G6" s="72">
        <f>SUM(A6:B6)/$C$11</f>
        <v>0.28000000000000003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40</v>
      </c>
      <c r="C7">
        <f t="shared" si="0"/>
        <v>40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40 min</v>
      </c>
      <c r="G7" s="75">
        <f t="shared" ref="G7:G9" si="2">SUM(A7:B7)/$C$11</f>
        <v>0.16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140</v>
      </c>
      <c r="C9">
        <f t="shared" si="0"/>
        <v>140</v>
      </c>
      <c r="E9" s="77" t="str">
        <f>'Journal de travail'!M11</f>
        <v>Documentation</v>
      </c>
      <c r="F9" s="74" t="str">
        <f t="shared" si="1"/>
        <v>2 h 20 min</v>
      </c>
      <c r="G9" s="75">
        <f t="shared" si="2"/>
        <v>0.56000000000000005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190</v>
      </c>
      <c r="C11">
        <f>SUM(A11:B11)</f>
        <v>250</v>
      </c>
      <c r="E11" s="81" t="s">
        <v>18</v>
      </c>
      <c r="F11" s="71" t="str">
        <f t="shared" si="1"/>
        <v>4 h 10 min</v>
      </c>
      <c r="G11" s="82">
        <f>C11/C12</f>
        <v>0.1736111111111111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2025-11-20T15:16:00Z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