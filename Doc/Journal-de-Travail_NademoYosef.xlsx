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n25kdv\Documents\GitHub\Todo-DevOps-Test\Doc\"/>
    </mc:Choice>
  </mc:AlternateContent>
  <xr:revisionPtr revIDLastSave="0" documentId="13_ncr:1_{0F933004-9039-4785-B8F4-44D3B69EC423}" xr6:coauthVersionLast="47" xr6:coauthVersionMax="47" xr10:uidLastSave="{00000000-0000-0000-0000-000000000000}"/>
  <bookViews>
    <workbookView xWindow="2868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<sst xmlns="http://schemas.openxmlformats.org/spreadsheetml/2006/main" count="66" uniqueCount="46">
  <si>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</si>
  <si>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</si>
  <si>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</si>
  <si>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</si>
  <si>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</si>
  <si>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</si>
  <si>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</si>
  <si>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</si>
  <si>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</si>
  <si>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</si>
  <si>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</si>
  <si>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</si>
  <si>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</si>
  <si>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</si>
  <si>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</si>
  <si>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</si>
  <si>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</si>
  <si>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</si>
  <si>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</si>
  <si>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</si>
  <si>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</si>
  <si>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</si>
  <si>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</si>
  <si>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</si>
  <si>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</si>
  <si>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</si>
  <si>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</si>
  <si>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</si>
  <si>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Absent</t>
  </si>
  <si>
    <t>Nademo Yosef</t>
  </si>
  <si>
    <t>29.08.2025 au 31.1.2025</t>
  </si>
  <si>
    <t>Une analyse approfondie du cahier des charges (CDC) afin de bien comprendre les objectifs, les fonctionnalités attendues et les contraintes techniques du projet</t>
  </si>
  <si>
    <t>Github repos/ Readme-Rapport / JDT / CDC / .gitignore( https://stackoverflow.com/questions/2143956/gitignore-for-visual-studio-projects-and-solutions )</t>
  </si>
  <si>
    <t>Création de repos GitHub privé, Une structure de fichiers organisée a été mise en place afin d’assurer une bonne lisibilité et une gestion efficace du code et des    ressources(          documentation/ — pour tous les documents liés au projet
readme.md — fichier de présentation du projet-Rapport | .gitignore
Début de la planification des tâches dans le JDT</t>
  </si>
  <si>
    <t>discussion avec professeur</t>
  </si>
  <si>
    <t>Todo-App</t>
  </si>
  <si>
    <t>creation de Github Project pour planification, creation de taches, assignment, prioritarisation,estimation</t>
  </si>
  <si>
    <t>deploiement d'application</t>
  </si>
  <si>
    <t>creation d'un plan tests</t>
  </si>
  <si>
    <t>mis à jour du journal de travail, tout les points de travail effectué sont noté</t>
  </si>
  <si>
    <t>creation de script de deploiement automatique; install-dependencies-launch</t>
  </si>
  <si>
    <t>mis à jour de README.md pour mieux expliquer les but de projet et les poitns de deploiement</t>
  </si>
  <si>
    <t>ajout d'un paragraph "Documentation" dans Readme.md</t>
  </si>
  <si>
    <t>creation d'une strategie de tests, avencement</t>
  </si>
  <si>
    <t>modification d'un plan tests, tout sauf Objectif</t>
  </si>
  <si>
    <t>corréction du rapport insertion des partie  Stratégie et plans de 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</si>
</sst>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89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1" fillId="13" borderId="2" xfId="0" applyNumberFormat="1" applyFont="1" applyFill="1" applyBorder="1" applyProtection="1">
      <protection locked="0"/>
    </xf>
    <xf numFmtId="0" fontId="16" fillId="3" borderId="0" xfId="1" applyFill="1" applyAlignment="1" applyProtection="1">
      <alignment wrapText="1"/>
      <protection locked="0"/>
    </xf>
    <xf numFmtId="0" fontId="16" fillId="0" borderId="0" xfId="1" applyAlignment="1" applyProtection="1">
      <alignment wrapText="1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2">
    <cellStyle name="Lien hypertexte" xfId="1" builtinId="8"/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70</c:v>
                </c:pt>
                <c:pt idx="1">
                  <c:v>40</c:v>
                </c:pt>
                <c:pt idx="2">
                  <c:v>0</c:v>
                </c:pt>
                <c:pt idx="3">
                  <c:v>225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0.20895522388059701</c:v>
                </c:pt>
                <c:pt idx="1">
                  <c:v>0.11940298507462686</c:v>
                </c:pt>
                <c:pt idx="2">
                  <c:v>0</c:v>
                </c:pt>
                <c:pt idx="3">
                  <c:v>0.67164179104477617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oingecko.com/en/api?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github.com/users/Josefnademo/projects/5/views/1" TargetMode="External"/><Relationship Id="rId1" Type="http://schemas.openxmlformats.org/officeDocument/2006/relationships/hyperlink" Target="https://www.youtube.com/watch?v=HGF1fm1vmIk&amp;ab_channel=IndustrialITandAutomation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gist.github.com/takekazuomi/10955889" TargetMode="External"/><Relationship Id="rId4" Type="http://schemas.openxmlformats.org/officeDocument/2006/relationships/hyperlink" Target="https://scottplot.net/cookbook/4.1/category/plottable-scatter-plot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topLeftCell="B1" zoomScale="85" zoomScaleNormal="85" workbookViewId="0">
      <pane ySplit="6" topLeftCell="A7" activePane="bottomLeft" state="frozen"/>
      <selection pane="bottomLeft" activeCell="F23" sqref="F23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8" t="s">
        <v>0</v>
      </c>
      <c r="B2" s="88"/>
      <c r="C2" s="86" t="s">
        <v>29</v>
      </c>
      <c r="D2" s="86"/>
      <c r="E2" s="86"/>
      <c r="F2" s="5" t="s">
        <v>1</v>
      </c>
      <c r="G2" s="64" t="s">
        <v>35</v>
      </c>
    </row>
    <row r="3" spans="1:15" ht="23.25" x14ac:dyDescent="0.35">
      <c r="A3" s="88" t="s">
        <v>5</v>
      </c>
      <c r="B3" s="88"/>
      <c r="C3" s="67" t="str">
        <f>QUOTIENT(E4,60)&amp;" heures "&amp;MOD(E4,60)&amp;" minutes"</f>
        <v>5 heures 35 minutes</v>
      </c>
      <c r="D3" s="17"/>
      <c r="E3" s="3"/>
      <c r="F3" s="4" t="s">
        <v>6</v>
      </c>
      <c r="G3" s="65" t="s">
        <v>30</v>
      </c>
    </row>
    <row r="4" spans="1:15" ht="23.25" hidden="1" x14ac:dyDescent="0.35">
      <c r="B4" s="5"/>
      <c r="C4" s="17">
        <f>SUBTOTAL(9,$C$7:$C$531)*60</f>
        <v>60</v>
      </c>
      <c r="D4" s="17">
        <f>SUBTOTAL(9,$D$7:$D$531)</f>
        <v>275</v>
      </c>
      <c r="E4" s="24">
        <f>SUM(C4:D4)</f>
        <v>335</v>
      </c>
      <c r="F4" s="4"/>
      <c r="G4" s="6"/>
    </row>
    <row r="5" spans="1:15" x14ac:dyDescent="0.25">
      <c r="C5" s="87" t="s">
        <v>14</v>
      </c>
      <c r="D5" s="87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20</v>
      </c>
      <c r="D6" s="16" t="s">
        <v>15</v>
      </c>
      <c r="E6" s="14" t="s">
        <v>9</v>
      </c>
      <c r="F6" s="14" t="s">
        <v>10</v>
      </c>
      <c r="G6" s="14" t="s">
        <v>11</v>
      </c>
    </row>
    <row r="7" spans="1:15" ht="31.5" x14ac:dyDescent="0.25">
      <c r="A7" s="61">
        <f>IF(ISBLANK(B7),"",_xlfn.ISOWEEKNUM('Journal de travail'!$B7))</f>
        <v>46</v>
      </c>
      <c r="B7" s="26">
        <v>45974</v>
      </c>
      <c r="C7" s="27">
        <v>1</v>
      </c>
      <c r="D7" s="28">
        <v>10</v>
      </c>
      <c r="E7" s="29" t="s">
        <v>2</v>
      </c>
      <c r="F7" s="23" t="s">
        <v>31</v>
      </c>
      <c r="G7" s="38" t="s">
        <v>34</v>
      </c>
    </row>
    <row r="8" spans="1:15" ht="78.75" x14ac:dyDescent="0.25">
      <c r="A8" s="62">
        <f>IF(ISBLANK(B8),"",_xlfn.ISOWEEKNUM('Journal de travail'!$B8))</f>
        <v>46</v>
      </c>
      <c r="B8" s="30">
        <v>45974</v>
      </c>
      <c r="C8" s="31"/>
      <c r="D8" s="32">
        <v>30</v>
      </c>
      <c r="E8" s="33" t="s">
        <v>4</v>
      </c>
      <c r="F8" s="23" t="s">
        <v>33</v>
      </c>
      <c r="G8" s="39" t="s">
        <v>32</v>
      </c>
      <c r="M8" t="s">
        <v>2</v>
      </c>
      <c r="N8">
        <v>1</v>
      </c>
      <c r="O8">
        <v>0</v>
      </c>
    </row>
    <row r="9" spans="1:15" ht="31.5" x14ac:dyDescent="0.25">
      <c r="A9" s="63">
        <f>IF(ISBLANK(B9),"",_xlfn.ISOWEEKNUM('Journal de travail'!$B9))</f>
        <v>47</v>
      </c>
      <c r="B9" s="34">
        <v>45981</v>
      </c>
      <c r="C9" s="35"/>
      <c r="D9" s="36">
        <v>30</v>
      </c>
      <c r="E9" s="37" t="s">
        <v>4</v>
      </c>
      <c r="F9" s="23" t="s">
        <v>36</v>
      </c>
      <c r="G9" s="40"/>
      <c r="M9" t="s">
        <v>19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47</v>
      </c>
      <c r="B10" s="30">
        <v>45981</v>
      </c>
      <c r="C10" s="31"/>
      <c r="D10" s="32">
        <v>30</v>
      </c>
      <c r="E10" s="33" t="s">
        <v>19</v>
      </c>
      <c r="F10" s="23" t="s">
        <v>37</v>
      </c>
      <c r="G10" s="85"/>
      <c r="M10" t="s">
        <v>3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47</v>
      </c>
      <c r="B11" s="34">
        <v>45981</v>
      </c>
      <c r="C11" s="35"/>
      <c r="D11" s="36">
        <v>15</v>
      </c>
      <c r="E11" s="37" t="s">
        <v>4</v>
      </c>
      <c r="F11" s="23" t="s">
        <v>38</v>
      </c>
      <c r="G11" s="40"/>
      <c r="M11" t="s">
        <v>4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47</v>
      </c>
      <c r="B12" s="30">
        <v>45981</v>
      </c>
      <c r="C12" s="31"/>
      <c r="D12" s="32">
        <v>35</v>
      </c>
      <c r="E12" s="33" t="s">
        <v>4</v>
      </c>
      <c r="F12" s="23" t="s">
        <v>43</v>
      </c>
      <c r="G12" s="85"/>
      <c r="M12" t="s">
        <v>28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47</v>
      </c>
      <c r="B13" s="34">
        <v>45981</v>
      </c>
      <c r="C13" s="35"/>
      <c r="D13" s="36">
        <v>10</v>
      </c>
      <c r="E13" s="37" t="s">
        <v>19</v>
      </c>
      <c r="F13" s="23" t="s">
        <v>40</v>
      </c>
      <c r="G13" s="84"/>
      <c r="N13">
        <v>6</v>
      </c>
      <c r="O13">
        <v>25</v>
      </c>
    </row>
    <row r="14" spans="1:15" x14ac:dyDescent="0.25">
      <c r="A14" s="62">
        <f>IF(ISBLANK(B14),"",_xlfn.ISOWEEKNUM('Journal de travail'!$B14))</f>
        <v>47</v>
      </c>
      <c r="B14" s="30">
        <v>45981</v>
      </c>
      <c r="C14" s="31"/>
      <c r="D14" s="32">
        <v>20</v>
      </c>
      <c r="E14" s="33" t="s">
        <v>4</v>
      </c>
      <c r="F14" s="23" t="s">
        <v>41</v>
      </c>
      <c r="G14" s="39"/>
      <c r="N14">
        <v>7</v>
      </c>
      <c r="O14">
        <v>30</v>
      </c>
    </row>
    <row r="15" spans="1:15" x14ac:dyDescent="0.25">
      <c r="A15" s="63">
        <f>IF(ISBLANK(B15),"",_xlfn.ISOWEEKNUM('Journal de travail'!$B15))</f>
        <v>47</v>
      </c>
      <c r="B15" s="34">
        <v>45981</v>
      </c>
      <c r="C15" s="35"/>
      <c r="D15" s="36">
        <v>10</v>
      </c>
      <c r="E15" s="37" t="s">
        <v>4</v>
      </c>
      <c r="F15" s="23" t="s">
        <v>39</v>
      </c>
      <c r="G15" s="40"/>
      <c r="N15">
        <v>8</v>
      </c>
      <c r="O15">
        <v>35</v>
      </c>
    </row>
    <row r="16" spans="1:15" x14ac:dyDescent="0.25">
      <c r="A16" s="62">
        <f>IF(ISBLANK(B16),"",_xlfn.ISOWEEKNUM('Journal de travail'!$B16))</f>
        <v>48</v>
      </c>
      <c r="B16" s="30">
        <v>45985</v>
      </c>
      <c r="C16" s="31"/>
      <c r="D16" s="32">
        <v>15</v>
      </c>
      <c r="E16" s="33" t="s">
        <v>4</v>
      </c>
      <c r="F16" s="23" t="s">
        <v>42</v>
      </c>
      <c r="G16" s="39"/>
      <c r="O16">
        <v>40</v>
      </c>
    </row>
    <row r="17" spans="1:15" x14ac:dyDescent="0.25">
      <c r="A17" s="63">
        <f>IF(ISBLANK(B17),"",_xlfn.ISOWEEKNUM('Journal de travail'!$B17))</f>
        <v>48</v>
      </c>
      <c r="B17" s="34">
        <v>45985</v>
      </c>
      <c r="C17" s="35"/>
      <c r="D17" s="36">
        <v>40</v>
      </c>
      <c r="E17" s="37" t="s">
        <v>4</v>
      </c>
      <c r="F17" s="23" t="s">
        <v>44</v>
      </c>
      <c r="G17" s="40"/>
      <c r="O17">
        <v>45</v>
      </c>
    </row>
    <row r="18" spans="1:15" x14ac:dyDescent="0.25">
      <c r="A18" s="62">
        <f>IF(ISBLANK(B18),"",_xlfn.ISOWEEKNUM('Journal de travail'!$B18))</f>
        <v>48</v>
      </c>
      <c r="B18" s="30">
        <v>45985</v>
      </c>
      <c r="C18" s="31"/>
      <c r="D18" s="32">
        <v>20</v>
      </c>
      <c r="E18" s="33" t="s">
        <v>4</v>
      </c>
      <c r="F18" s="23" t="s">
        <v>45</v>
      </c>
      <c r="G18" s="39"/>
      <c r="O18">
        <v>50</v>
      </c>
    </row>
    <row r="19" spans="1:15" x14ac:dyDescent="0.25">
      <c r="A19" s="63">
        <f>IF(ISBLANK(B19),"",_xlfn.ISOWEEKNUM('Journal de travail'!$B19))</f>
        <v>48</v>
      </c>
      <c r="B19" s="34">
        <v>45985</v>
      </c>
      <c r="C19" s="35"/>
      <c r="D19" s="36">
        <v>10</v>
      </c>
      <c r="E19" s="37" t="s">
        <v>4</v>
      </c>
      <c r="F19" s="23" t="s">
        <v>39</v>
      </c>
      <c r="G19" s="84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85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84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84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hyperlinks>
    <hyperlink ref="G13" r:id="rId1" display="https://www.youtube.com/watch?v=HGF1fm1vmIk&amp;ab_channel=IndustrialITandAutomation" xr:uid="{336CBD97-FBE6-4DA0-92F1-7E19F61FE3AA}"/>
    <hyperlink ref="G12" r:id="rId2" display="https://github.com/users/Josefnademo/projects/5/views/1" xr:uid="{160CB3A4-60AC-4C67-9742-E843A97D81B7}"/>
    <hyperlink ref="G10" r:id="rId3" display="https://www.coingecko.com/en/api?" xr:uid="{0F91120E-3455-4E0F-8C60-6729CE2C909C}"/>
    <hyperlink ref="G20" r:id="rId4" display="https://scottplot.net/cookbook/4.1/category/plottable-scatter-plot/" xr:uid="{4AC877DD-0538-4960-9300-3F6AF2D7E0D5}"/>
    <hyperlink ref="G31" r:id="rId5" display="https://gist.github.com/takekazuomi/10955889" xr:uid="{14778DBD-AC08-49BE-B816-D74CEFC0A64E}"/>
  </hyperlinks>
  <pageMargins left="0.7" right="0.7" top="0.75" bottom="0.75" header="0.3" footer="0.3"/>
  <pageSetup paperSize="9" orientation="portrait" r:id="rId6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1" workbookViewId="0">
      <selection activeCell="N7" sqref="N7"/>
    </sheetView>
  </sheetViews>
  <sheetFormatPr baseColWidth="10" defaultColWidth="11.25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24</v>
      </c>
      <c r="F2" s="68">
        <v>24</v>
      </c>
      <c r="G2" s="66" t="s">
        <v>23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25</v>
      </c>
      <c r="L4" s="66" t="s">
        <v>21</v>
      </c>
      <c r="M4" s="41"/>
      <c r="N4" s="19"/>
    </row>
    <row r="5" spans="1:14" x14ac:dyDescent="0.3">
      <c r="A5" t="s">
        <v>16</v>
      </c>
      <c r="B5" t="s">
        <v>17</v>
      </c>
      <c r="C5" s="41" t="s">
        <v>26</v>
      </c>
      <c r="D5" s="42"/>
      <c r="E5" s="45" t="s">
        <v>12</v>
      </c>
      <c r="F5" s="46" t="s">
        <v>13</v>
      </c>
      <c r="G5" s="47" t="s">
        <v>22</v>
      </c>
      <c r="L5" s="48" t="s">
        <v>12</v>
      </c>
      <c r="M5" s="49" t="s">
        <v>13</v>
      </c>
      <c r="N5" s="50" t="s">
        <v>22</v>
      </c>
    </row>
    <row r="6" spans="1:14" x14ac:dyDescent="0.3">
      <c r="A6">
        <f>SUMIF('Journal de travail'!$E$7:$E$532,Plannification!E6,'Journal de travail'!$C$7:$C$532)*60</f>
        <v>60</v>
      </c>
      <c r="B6">
        <f>SUMIF('Journal de travail'!$E$7:$E$532,Plannification!E6,'Journal de travail'!$D$7:$D$532)</f>
        <v>10</v>
      </c>
      <c r="C6">
        <f t="shared" ref="C6:C10" si="0">SUM(A6:B6)</f>
        <v>70</v>
      </c>
      <c r="E6" s="70" t="str">
        <f>'Journal de travail'!M8</f>
        <v>Analyse</v>
      </c>
      <c r="F6" s="71" t="str">
        <f>QUOTIENT(SUM(A6:B6),60)&amp;" h "&amp;TEXT(MOD(SUM(A6:B6),60), "00")&amp;" min"</f>
        <v>1 h 10 min</v>
      </c>
      <c r="G6" s="72">
        <f>SUM(A6:B6)/$C$11</f>
        <v>0.20895522388059701</v>
      </c>
      <c r="L6" s="51" t="str">
        <f>'Journal de travail'!M8</f>
        <v>Analyse</v>
      </c>
      <c r="M6" s="52" t="str">
        <f>INT($F$2*N6)&amp;" h "&amp;TEXT(ROUND(MOD($F$2*N6,1)*60,0),"00")&amp;" m"</f>
        <v>3 h 36 m</v>
      </c>
      <c r="N6" s="58">
        <v>0.15</v>
      </c>
    </row>
    <row r="7" spans="1:14" x14ac:dyDescent="0.3">
      <c r="A7">
        <f>SUMIF('Journal de travail'!$E$7:$E$532,Plannification!E7,'Journal de travail'!$C$7:$C$532)*60</f>
        <v>0</v>
      </c>
      <c r="B7">
        <f>SUMIF('Journal de travail'!$E$7:$E$532,Plannification!E7,'Journal de travail'!$D$7:$D$532)</f>
        <v>40</v>
      </c>
      <c r="C7">
        <f t="shared" si="0"/>
        <v>40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0 h 40 min</v>
      </c>
      <c r="G7" s="75">
        <f t="shared" ref="G7:G9" si="2">SUM(A7:B7)/$C$11</f>
        <v>0.11940298507462686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12 h 00 m</v>
      </c>
      <c r="N7" s="59">
        <v>0.5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2 h 24 m</v>
      </c>
      <c r="N8" s="58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225</v>
      </c>
      <c r="C9">
        <f t="shared" si="0"/>
        <v>225</v>
      </c>
      <c r="E9" s="77" t="str">
        <f>'Journal de travail'!M11</f>
        <v>Documentation</v>
      </c>
      <c r="F9" s="74" t="str">
        <f t="shared" si="1"/>
        <v>3 h 45 min</v>
      </c>
      <c r="G9" s="75">
        <f t="shared" si="2"/>
        <v>0.67164179104477617</v>
      </c>
      <c r="L9" s="55" t="str">
        <f>'Journal de travail'!M11</f>
        <v>Documentation</v>
      </c>
      <c r="M9" s="52" t="str">
        <f t="shared" si="3"/>
        <v>6 h 00 m</v>
      </c>
      <c r="N9" s="59">
        <v>0.25</v>
      </c>
    </row>
    <row r="10" spans="1:14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28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28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60</v>
      </c>
      <c r="B11">
        <f>SUM(B6:B10)</f>
        <v>275</v>
      </c>
      <c r="C11">
        <f>SUM(A11:B11)</f>
        <v>335</v>
      </c>
      <c r="E11" s="81" t="s">
        <v>18</v>
      </c>
      <c r="F11" s="71" t="str">
        <f t="shared" si="1"/>
        <v>5 h 35 min</v>
      </c>
      <c r="G11" s="82">
        <f>C11/C12</f>
        <v>0.2326388888888889</v>
      </c>
      <c r="L11" s="56" t="s">
        <v>18</v>
      </c>
      <c r="M11" s="57"/>
      <c r="N11" s="60">
        <f>SUM(N6:N10)</f>
        <v>1</v>
      </c>
    </row>
    <row r="12" spans="1:14" x14ac:dyDescent="0.3">
      <c r="C12">
        <f>F2*60</f>
        <v>1440</v>
      </c>
    </row>
    <row r="13" spans="1:14" x14ac:dyDescent="0.3">
      <c r="F13" s="43"/>
    </row>
  </sheetData>
  <sheetProtection algorithmName="SHA-512" hashValue="pSYnPYn6lXcKz0Qj+I1jIXn9gbknLTkaLnwfEECSlP/A54MtZCqgxo1Qhps7lLnK7XLzNEorFQDF8LNxtj+/HA==" saltValue="Bc5SHBHm2oBmqMc3ptkeRg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topLeftCell="A4" zoomScale="85" zoomScaleNormal="85" workbookViewId="0">
      <selection activeCell="R14" sqref="R14"/>
    </sheetView>
  </sheetViews>
  <sheetFormatPr baseColWidth="10" defaultColWidth="11.25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2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7F8341A-4C75-4689-8311-30F611A1E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Yosef Nademo</cp:lastModifiedBy>
  <cp:revision/>
  <dcterms:created xsi:type="dcterms:W3CDTF">2023-11-21T20:00:34Z</dcterms:created>
  <dcterms:modified xsi:type="dcterms:W3CDTF">2025-11-24T10:30:09Z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